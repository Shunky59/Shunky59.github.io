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Tracking v3" sheetId="1" r:id="rId5"/>
    <sheet state="visible" name="Copy of Order Tracking v3" sheetId="2" r:id="rId6"/>
    <sheet state="visible" name="Detailed BOM V1" sheetId="3" r:id="rId7"/>
    <sheet state="visible" name="BOM With Discounts + Account In" sheetId="4" r:id="rId8"/>
    <sheet state="visible" name="Simple" sheetId="5" r:id="rId9"/>
    <sheet state="visible" name="Simple Full name" sheetId="6" r:id="rId10"/>
  </sheets>
  <definedNames/>
  <calcPr/>
</workbook>
</file>

<file path=xl/sharedStrings.xml><?xml version="1.0" encoding="utf-8"?>
<sst xmlns="http://schemas.openxmlformats.org/spreadsheetml/2006/main" count="861" uniqueCount="261">
  <si>
    <t>Account and Discount Information</t>
  </si>
  <si>
    <t>Vendor Name</t>
  </si>
  <si>
    <t>Username</t>
  </si>
  <si>
    <t>Password</t>
  </si>
  <si>
    <t>Discount %</t>
  </si>
  <si>
    <t>Tax Exempt?</t>
  </si>
  <si>
    <t>Notes</t>
  </si>
  <si>
    <t>GoBuilda</t>
  </si>
  <si>
    <t>dshunk@nd.edu</t>
  </si>
  <si>
    <t>Group09SeniorDesign$</t>
  </si>
  <si>
    <t>Yes</t>
  </si>
  <si>
    <t>Starting Amount</t>
  </si>
  <si>
    <t>Adafruit</t>
  </si>
  <si>
    <t>Group09 or dshunk@nd.edu</t>
  </si>
  <si>
    <t>Amount Remaining on Card</t>
  </si>
  <si>
    <t>DigiKey</t>
  </si>
  <si>
    <t>No</t>
  </si>
  <si>
    <t>Amount Remaining in Budget</t>
  </si>
  <si>
    <t>Preliminary BOM</t>
  </si>
  <si>
    <t>Subassembly</t>
  </si>
  <si>
    <t>Name of part</t>
  </si>
  <si>
    <t>Amount Required</t>
  </si>
  <si>
    <t>Expected Unit price</t>
  </si>
  <si>
    <t>Expected Total Cost</t>
  </si>
  <si>
    <t>Total Cost</t>
  </si>
  <si>
    <t>Cost If Card Not Used (Components from EIH, ISALL, etc.)</t>
  </si>
  <si>
    <t>Date Ordered</t>
  </si>
  <si>
    <t>Receipt Link</t>
  </si>
  <si>
    <t>Delivered/Obtained?</t>
  </si>
  <si>
    <t>Link</t>
  </si>
  <si>
    <t>3D printed, stock and manufacture, or final product?</t>
  </si>
  <si>
    <t xml:space="preserve">Notes </t>
  </si>
  <si>
    <t>Drivetrain</t>
  </si>
  <si>
    <t>435 RPM GoBuilda Yellow Jacket Motors</t>
  </si>
  <si>
    <t>https://drive.google.com/drive/folders/1bpFnFNl3BLED7mmrxZh7vgY9uvHRqW9e</t>
  </si>
  <si>
    <t>https://www.gobilda.com/5203-series-yellow-jacket-planetary-gear-motor-13-7-1-ratio-24mm-length-8mm-rex-shaft-435-rpm-3-3-5v-encoder/</t>
  </si>
  <si>
    <t>Final product</t>
  </si>
  <si>
    <t>1309 Series Sonic Hub (8mm REX™ Bore)</t>
  </si>
  <si>
    <t>https://www.gobilda.com/1309-series-sonic-hub-8mm-rex-bore/</t>
  </si>
  <si>
    <t>Hogback Traction Wheels (Back Wheels)</t>
  </si>
  <si>
    <t>https://www.gobilda.com/hogback-traction-wheel-96mm-diameter-50a-durometer/</t>
  </si>
  <si>
    <t>RoboClaw Motor Controller</t>
  </si>
  <si>
    <t>https://www.gobilda.com/roboclaw-2x15a-motor-controller/</t>
  </si>
  <si>
    <t>2802 Series Zinc-Plated Steel Button Head Screw (M4 x 0.7mm, 12mm Length) - 25 Pack</t>
  </si>
  <si>
    <t>https://www.gobilda.com/2802-series-zinc-plated-steel-button-head-screw-m4-x-0-7mm-12mm-length-25-pack/</t>
  </si>
  <si>
    <t>96mm Omni Wheel (14mm Bore, 50A Durometer)</t>
  </si>
  <si>
    <t>EIH</t>
  </si>
  <si>
    <t>https://www.gobilda.com/96mm-omni-wheel-14mm-bore-50a-durometer/</t>
  </si>
  <si>
    <t>Raspberry Pi 4B</t>
  </si>
  <si>
    <t>https://drive.google.com/file/d/1jTrTnBhKoSQXvmdi0nXnZMtVRGH_JPNF/view?usp=sharing</t>
  </si>
  <si>
    <t>https://www.amazon.com/Raspberry-Pi-Model-2GB/dp/B09TTNPB4J/ref=sr_1_7?crid=252TN1F58JG7S&amp;dib=eyJ2IjoiMSJ9.HavuMzOx0pibLLpdWCmY0-n0KHJjeMikjbp58OMNJLHzsHsnrnftGjcbTUet3sVDtWfqXrWNT_k0tecU9w3FKXH2ovqggzRmNrAxzCSXAN4MIW-dVt4y_lBv65_4xWlpOFynxAc1vvqZbU0O4POhztxzEWIJLutZkLR7e5QKBxK0QEUaxvljbCqDhgi4j4SycpAX2ISoYqWR0d-ktpwasFRjYiY87Pt-06ZXpK3bbcK7ebo3Efmmhp7IM0G4TjF_fehxUl75SkZ0Lccy942LBsVlldwXyJJTAXj7OyNd4-Q.tSJdz6wDIH7He3vMiH1m9lPeU17o42S3eYchCjiuIN0&amp;dib_tag=se&amp;keywords=raspberry+pi+4b&amp;qid=1758490404&amp;s=electronics&amp;sprefix=raspberry+pi+4b%2Celectronics%2C87&amp;sr=1-7</t>
  </si>
  <si>
    <t>12V NiMH Nested Battery (3000mAh, MH-FC XT30 Connector)</t>
  </si>
  <si>
    <t>https://drive.google.com/file/d/1bfNTbY0k-69QRZK7zLRSVl-RtCeFQFII/view?usp=sharing</t>
  </si>
  <si>
    <t>https://www.gobilda.com/12v-nimh-nested-battery-3000mah-mh-fc-xt30-connector/</t>
  </si>
  <si>
    <t>SanDisk 64GB Ultra microSDXC UHS-I Memory Card with Adapter - Up to 140MB/s, C10, U1, Full HD, A1, MicroSD Card - SDSQUAB-064G-GN6MA [New Version]</t>
  </si>
  <si>
    <t>https://www.amazon.com/SanDisk-Ultra-microSDHC-Memory-Adapter/dp/B0B7NXBM6P/?th=1</t>
  </si>
  <si>
    <t>Final Product</t>
  </si>
  <si>
    <t>Encoder Breakout Cable (4-Pos JST XH [MH-FC] to 4 x 1-Pos TJC8 [MH-FC], 300mm Length)</t>
  </si>
  <si>
    <t>https://www.gobilda.com/encoder-breakout-cable-4-pos-jst-xh-mh-fc-to-4-x-1-pos-tjc8-mh-fc-300mm-length/?srsltid=AfmBOor2AVkUs5Vds3XKAik0pb3nAzGfoDlo60xQxr78PchH8gUdjScO</t>
  </si>
  <si>
    <t>6mm 1611 Series Flanged Ball Bearing</t>
  </si>
  <si>
    <t>https://www.gobilda.com/1611-series-flanged-ball-bearing-6mm-id-x-14mm-od-5mm-thickness-2-pack/</t>
  </si>
  <si>
    <t>Need 2, but comes in a pack of 2</t>
  </si>
  <si>
    <t>8mm 1611 Series Flanged Ball Bearing</t>
  </si>
  <si>
    <t>https://www.gobilda.com/1611-series-flanged-ball-bearing-8mm-id-x-14mm-od-5mm-thickness-2-pack/</t>
  </si>
  <si>
    <t>1201 Series Quad Block Pattern Mount (43-2)</t>
  </si>
  <si>
    <t>https://www.gobilda.com/1201-series-quad-block-pattern-mount-43-2/</t>
  </si>
  <si>
    <t>Shouldered 8mm REX™ Hub-Shaft (20mm Hub Offset)</t>
  </si>
  <si>
    <t>https://www.gobilda.com/shouldered-8mm-rex-hub-shaft-20mm-hub-offset/</t>
  </si>
  <si>
    <t>5V battery pack</t>
  </si>
  <si>
    <t>https://drive.google.com/file/d/1fptz56D2GBNVqYwWAdK74m7UO4Xq7BUr/view?usp=sharing</t>
  </si>
  <si>
    <t>https://www.amazon.com/dp/B0CB1FW5FC/ref=sspa_dk_detail_2?pd_rd_i=B0CB1FW5FC&amp;pd_rd_w=yo3l8&amp;content-id=amzn1.sym.bbb3fb5e-28ad-4062-a3ba-1f7b9f2e4371&amp;pf_rd_p=bbb3fb5e-28ad-4062-a3ba-1f7b9f2e4371&amp;pf_rd_r=881CYYGDW8VH1GFZ7ACS&amp;pd_rd_wg=tVulY&amp;pd_rd_r=80ab3d2b-1b78-405e-b51f-e282d9d62f99&amp;sp_csd=d2lkZ2V0TmFtZT1zcF9kZXRhaWxfdGhlbWF0aWM&amp;th=1</t>
  </si>
  <si>
    <t>USB - Micro USB</t>
  </si>
  <si>
    <t>https://www.amazon.com/gp/product/B004GETLY2/ref=ox_sc_act_title_4?smid=A1OHX1ZYWFEJ99&amp;psc=1</t>
  </si>
  <si>
    <t>BNO055 IMU Sensor</t>
  </si>
  <si>
    <t>ISAL</t>
  </si>
  <si>
    <t>https://www.adafruit.com/product/2472?srsltid=AfmBOoru6QF8aEFryTHnUaupkJaWuSUFJ5eSN-nVNmhKJTNAqOB8Qv5E</t>
  </si>
  <si>
    <t>Chassis</t>
  </si>
  <si>
    <t>1120 Series U-Channel (9 Hole, 240mm Length)</t>
  </si>
  <si>
    <t>https://www.gobilda.com/1120-series-u-channel-9-hole-240mm-length/</t>
  </si>
  <si>
    <t>M4 x 0.7mm Zinc-Plated Socket Head Screw (8mm Length) (25 Pack)</t>
  </si>
  <si>
    <t>https://www.gobilda.com/m4-x-0-7mm-zinc-plated-socket-head-screw-8mm-length/</t>
  </si>
  <si>
    <t>M4 x 0.7mm Nylock Nut (25 Pack)</t>
  </si>
  <si>
    <t>https://www.gobilda.com/m4-x-0-7mm-nylock-nut/?sku=2812-0004-0007</t>
  </si>
  <si>
    <t>1123 Series Pattern Plate (1 x 7 Hole, 43 x 192mm)</t>
  </si>
  <si>
    <t>https://www.gobilda.com/1123-series-pattern-plate-1-x-7-hole-43-x-192mm/</t>
  </si>
  <si>
    <t>1106 Series Square Beam (13 Hole, 104mm Length)</t>
  </si>
  <si>
    <t>https://www.gobilda.com/1106-series-square-beam-13-hole-104mm-length/</t>
  </si>
  <si>
    <t>5 Pcs HC-SR04 Ultrasonic Sensor</t>
  </si>
  <si>
    <t>https://www.amazon.com/dp/B01COSN7O6?ref=ppx_yo2ov_dt_b_fed_asin_title</t>
  </si>
  <si>
    <t>Pack of 5, we need 1</t>
  </si>
  <si>
    <t>Ultrasonic Sensor brackets</t>
  </si>
  <si>
    <t>https://www.amazon.com/MTDELE-HC-SR04-Ultrasonic-Arduino-Mounting/dp/B0D6WBK52V/ref=sr_1_2_sspa?crid=2O5U4GAP6ER8P&amp;dib=eyJ2IjoiMSJ9.E2SIkElJhtFWCJCHL5Q6Yys8UWphh18sr7FUgRDIlqcCyuedPyWbrqpJTYjNpMds9SyGyrxxGSu9bRUioo0H9qyYqn2OXGinXZWJo2BZ-S5mwWIs7NSwcG3YPZHS6lEeSE6MOnweDrOgrNuivB7lkEdWe2mUt6x0XYv9k8mxCkkcMh1UcE_32MxSKXq9_yQb1WK4jhvmInMy5SwFlntCEFiY2VwlELgV7dX_EthoMFk.5VmuMnqg_PVZ-VkaZWrlmY7I4oGzCT-oVWZeOMu59Ic&amp;dib_tag=se&amp;keywords=ultrasonic+sensor&amp;qid=1759414709&amp;sprefix=ultrasonic+sens%2Caps%2C151&amp;sr=8-2-spons&amp;sp_csd=d2lkZ2V0TmFtZT1zcF9hdGY&amp;psc=1</t>
  </si>
  <si>
    <t>1/8 Inch Thick, 6" x 12" High Density Polyethylene White Plastic Sheet- Pack of 2</t>
  </si>
  <si>
    <t>https://www.amazon.com/Bocolon-Density-Polyethylene-Plastic-Industry/dp/B0DBHFX4LB/ref=sr_1_1_sspa?crid=3DB0EZDRHAMPE&amp;dib=eyJ2IjoiMSJ9.7rmP2iSG2yEj4I48OTV75PqkD6y8ja0Gd4dmq-mMSYnUZ0YAeMPIkyn2gACTVLFPY39IZj64Dq1eVe1aR5zm20oslYwDFtOB1KxKMDFTh1X-tQpz1rtq4qwienoAtvl83gtFk8B8MoUo4pg6EJxlxB4TLUgqYjNk2a7v3muaYc8z6wqgCQsvc2hqCg-GirjPKJSl1TdVhNb3LpAWy4g6cXf2n3DTD1nYialnFzz9RpE.lAUw60Gjyut-3JATGVuSuISxTzGXJFH12Y6KVHfSvcU&amp;dib_tag=se&amp;keywords=1%2F8%2Binch%2Bhdpe%2Bsheet&amp;qid=1759414957&amp;sprefix=1%2F8%2Binch%2Bhdpe%2Bsheet%2Caps%2C154&amp;sr=8-1-spons&amp;sp_csd=d2lkZ2V0TmFtZT1zcF9hdGY&amp;th=1</t>
  </si>
  <si>
    <t>Stock and Manufacture</t>
  </si>
  <si>
    <t xml:space="preserve">Hinge </t>
  </si>
  <si>
    <t>https://www.amazon.com/Adiyer-Stainless-1-inch-Folding-Jewelry/dp/B08SJBD3L1?th=1</t>
  </si>
  <si>
    <t xml:space="preserve">Final Product </t>
  </si>
  <si>
    <t>Corner Braces 25mm x 25mm 90 degree</t>
  </si>
  <si>
    <t>https://www.amazon.com/Bracket-Brackets-30x30mm-Stainless-Reinforce/dp/B07T9NG893?th=1</t>
  </si>
  <si>
    <t>1 in. Zinc-Plated Corner Brace</t>
  </si>
  <si>
    <r>
      <rPr>
        <color rgb="FF1155CC"/>
        <u/>
      </rPr>
      <t>Everbilt (20-Pack) 1 in. Zinc-Plated Corner Brace Value-Pack) 24487 - The Home Depot</t>
    </r>
  </si>
  <si>
    <t xml:space="preserve">Product and Manufacture </t>
  </si>
  <si>
    <t xml:space="preserve">The brackets are originally 90 degrees and will be manufactured to reach the desired 127 degree angle </t>
  </si>
  <si>
    <t>White paints pens</t>
  </si>
  <si>
    <t>amazon.com/gp/product/B0D21NHYX8/ref=ox_sc_act_title_1?smid=A2G79MFFPKHN4J&amp;psc=1</t>
  </si>
  <si>
    <t>Acrylic Sheet</t>
  </si>
  <si>
    <t>https://www.amazon.com/gp/product/B0CZ768K5Y/ref=ox_sc_act_title_2?smid=A128CO7G80NO6D&amp;psc=1</t>
  </si>
  <si>
    <t>Sheet Material for covering</t>
  </si>
  <si>
    <t>https://www.amazon.com/gp/product/B0BJDKZWDF/ref=sw_img_1?smid=A34FLGFUMBB69H&amp;th=1</t>
  </si>
  <si>
    <t>Laser Pointer</t>
  </si>
  <si>
    <t>https://www.amazon.com/gp/product/B0DHZYM1JQ/ref=ox_sc_act_title_3?smid=A1FIU1KHKMEYGE&amp;psc=1</t>
  </si>
  <si>
    <t>Pill Chamber</t>
  </si>
  <si>
    <t xml:space="preserve">TD-8125MG 25KG Digital Servo 360 Degree </t>
  </si>
  <si>
    <t>Amazon Link</t>
  </si>
  <si>
    <t>2305 Series Brass, MOD 0.8, Servo Gear (25 Tooth Spline, 30 Tooth)</t>
  </si>
  <si>
    <t>https://www.gobilda.com/2305-series-brass-mod-0-8-servo-gear-25-tooth-spline-30-tooth/</t>
  </si>
  <si>
    <t>20 Degree Pressure Angle Gear Rack, 32 Pitch (1 ft)</t>
  </si>
  <si>
    <t>https://drive.google.com/file/d/1sa2pXICpRUstmJmgU6Y9xq3Z1pVdOgd1/view?usp=sharing</t>
  </si>
  <si>
    <r>
      <rPr>
        <color rgb="FF1155CC"/>
        <u/>
      </rPr>
      <t>20 Degree Pressure Angle Gear Rack, 32 Pitch | McMaster-Carr</t>
    </r>
  </si>
  <si>
    <t>3D Printing of Housing with ABS-M30</t>
  </si>
  <si>
    <t>3D Printed</t>
  </si>
  <si>
    <t>ABS Bar Stock (1 ft Rectangular Stock)</t>
  </si>
  <si>
    <t>https://www.mcmaster.com/8712K151-8712K152/</t>
  </si>
  <si>
    <t>Stock and manufacture</t>
  </si>
  <si>
    <t>#0-80 x 1/2" Phillips Drive Stainless Steel Flat Head Machine Screw</t>
  </si>
  <si>
    <t>Pre owned</t>
  </si>
  <si>
    <t>N/A</t>
  </si>
  <si>
    <t>Plastic Snap Fasteners</t>
  </si>
  <si>
    <t>Jelly bean chambers</t>
  </si>
  <si>
    <t>Koozie</t>
  </si>
  <si>
    <t xml:space="preserve">3D printing with ABS-M30 </t>
  </si>
  <si>
    <t>Wearable Device</t>
  </si>
  <si>
    <t>Thermistors</t>
  </si>
  <si>
    <t>https://www.amazon.com/gp/product/B01GH32AQU/ref=ox_sc_act_title_2?smid=A2177J1RKY6IS3&amp;psc=1</t>
  </si>
  <si>
    <t>https://www.digikey.com/en/products/detail/kyocera-avx/ND03P00333K--/1452053?gad_source=1&amp;gad_campaignid=20682862038&amp;gbraid=0AAAAADrbLlihpozHczm7iSeXBJ4Rpn0DV&amp;gclid=Cj0KCQjwxL7GBhDXARIsAGOcmIMkgYX8SvMh8Ca3dpat8Z4KVMCYqJJgqFAxlJ7ChvtwJ06sXMiWvT0aAoIHEALw_wcB&amp;gclsrc=aw.ds</t>
  </si>
  <si>
    <t>Button</t>
  </si>
  <si>
    <t>ISALL</t>
  </si>
  <si>
    <t>https://www.digikey.com/en/products/detail/omron-electronics-inc-emc-div/B3F-1020/44059?gclsrc=aw.ds&amp;gad_source=1&amp;gad_campaignid=20509826117&amp;gbraid=0AAAAADrbLlgPahjgQjTiZA4NtmRxex-fT&amp;gclid=Cj0KCQjwxL7GBhDXARIsAGOcmINhvAJ8CTcOZCDOgN0-hotT2-AahMXe-lMgYzgAD1VIPJNkVBgZdqYaAuCqEALw_wcB</t>
  </si>
  <si>
    <t>Wiring</t>
  </si>
  <si>
    <r>
      <rPr>
        <rFont val="Arial"/>
      </rPr>
      <t xml:space="preserve">ISALL and </t>
    </r>
    <r>
      <rPr>
        <rFont val="Arial"/>
        <color rgb="FF1155CC"/>
        <u/>
      </rPr>
      <t>https://drive.google.com/file/d/1fptz56D2GBNVqYwWAdK74m7UO4Xq7BUr/view?usp=sharing</t>
    </r>
  </si>
  <si>
    <t>https://www.amazon.com/Tosiicop-XT30-Connector-Plug-Cable/dp/B0FDGN2M8F/ref=sr_1_2?crid=1SLDDI5PQ9MX1&amp;dib=eyJ2IjoiMSJ9.MC3QHOBWIJFZL7s7I23l8Eyu4Is9IbVcEa4CD_D2aGNausFvlyg-_61lnjEpcQ8uZgcV6vIn-abXlN-YeNII__9PKOGrzz8VXS5AVR8SJ4BcebGbs2AF-BUeVLS07kGRTHt9TM3WBtA3LIaQ04W_kBMRmxoYGW4Gf9m4_kS-9akZQgx3BvIP8U_iW3SGqWFb3mLoFiUzcQ5tJ_WAqBOKSGMMVkceSr8v81fprs83_8Du4VLyX5WsyRCS6qkch3jvbgY7rE2xR953M0TfxlYNfIKBHdlRkelsAqWV5eaJOqM.khXjgUimka0tH_o4DcDdYgpnaqdwTpm8A17coRRj5Kg&amp;dib_tag=se&amp;keywords=XT30U-M%2Bwires&amp;qid=1760021478&amp;sprefix=xt30u-m%2Bwires%2Caps%2C119&amp;sr=8-2&amp;th=1</t>
  </si>
  <si>
    <t>Velcro Straps</t>
  </si>
  <si>
    <t>https://www.amazon.com/gp/product/B085F2LWW6/ref=sw_img_1?smid=A66IX15EHOXVO&amp;psc=1</t>
  </si>
  <si>
    <t>Stock</t>
  </si>
  <si>
    <t>Sweat Bands</t>
  </si>
  <si>
    <t>https://www.amazon.com/gp/product/B0FBGMF4L3/ref=ewc_pr_img_2?smid=A11DNW2T2L65TN&amp;th=1</t>
  </si>
  <si>
    <t>Build-A-Board ESP32-C3</t>
  </si>
  <si>
    <t>Battery to Microcontroller connector</t>
  </si>
  <si>
    <t>https://drive.google.com/file/d/19wHw3kEEvu5nfOIFXMFUzgYmtCgkMwhi/view?usp=sharing</t>
  </si>
  <si>
    <t>https://www.amazon.com/dp/B0DRZWN3BN?ref=ppx_yo2ov_dt_b_fed_asin_title</t>
  </si>
  <si>
    <t>9V Battery (2 pack)</t>
  </si>
  <si>
    <t>https://www.amazon.com/dp/B0DM5Q14P8?ref=ppx_yo2ov_dt_b_fed_asin_title</t>
  </si>
  <si>
    <t>5V step down</t>
  </si>
  <si>
    <t>https://drive.google.com/file/d/1mN0hiEHj8ihfRJnBGriWtGi6YfIk0Z63/view?usp=sharing</t>
  </si>
  <si>
    <t>https://www.amazon.com/dp/B0B779ZYN1?ref_=ppx_printOD_title_dt_b_fed_asin_title_0_0&amp;th=1</t>
  </si>
  <si>
    <t>Rocker Switch</t>
  </si>
  <si>
    <t>https://www.amazon.com/dp/B08TBZ23C1?ref=ppx_yo2ov_dt_b_fed_asin_title</t>
  </si>
  <si>
    <t>Shipping</t>
  </si>
  <si>
    <t>GoBuilda Order 9/30</t>
  </si>
  <si>
    <t>Tracking Number: 393827753566</t>
  </si>
  <si>
    <t>GoBuilda Order 10/2</t>
  </si>
  <si>
    <t>Tracking Number: 9405550105501033586571</t>
  </si>
  <si>
    <t>Amazon 10/2 and 10/7</t>
  </si>
  <si>
    <t>McMaster Carr 10/2</t>
  </si>
  <si>
    <t>Amazon 7 day prime trail</t>
  </si>
  <si>
    <t xml:space="preserve">Total </t>
  </si>
  <si>
    <t>Total Spent:</t>
  </si>
  <si>
    <t>BOM</t>
  </si>
  <si>
    <r>
      <rPr>
        <rFont val="Arial"/>
      </rPr>
      <t xml:space="preserve">ISALL and </t>
    </r>
    <r>
      <rPr>
        <rFont val="Arial"/>
        <color rgb="FF1155CC"/>
        <u/>
      </rPr>
      <t>https://drive.google.com/file/d/1fptz56D2GBNVqYwWAdK74m7UO4Xq7BUr/view?usp=sharing</t>
    </r>
  </si>
  <si>
    <t>Unit price</t>
  </si>
  <si>
    <t>Order Status</t>
  </si>
  <si>
    <t>ORDERED</t>
  </si>
  <si>
    <t>96mm Omni Wheels (Front Wheels)</t>
  </si>
  <si>
    <t xml:space="preserve">NOT YET </t>
  </si>
  <si>
    <r>
      <rPr>
        <rFont val="Arial"/>
        <color theme="1"/>
      </rPr>
      <t xml:space="preserve">Recharable Battery </t>
    </r>
    <r>
      <rPr>
        <rFont val="Arial"/>
        <b/>
        <color theme="1"/>
      </rPr>
      <t>(STILL TBD)</t>
    </r>
  </si>
  <si>
    <t>https://www.horizonhobby.com/product/SPMX223S30.html?utm_source=google&amp;utm_medium=cpc&amp;utm_campaign=horizonhobby_shopping-catch-all_01_HIGH_NONBRAND&amp;utm_campaignid=21803082141&amp;adgroupid=177403203788&amp;utm_content=717153848083&amp;utm_term=::matchtype_&amp;utm_campaign=horizonhobby_shopping-catch-all_01_HIGH_NONBRAND&amp;utm_device=c&amp;gad_source=1&amp;gad_campaignid=21803082141&amp;gbraid=0AAAAAD_XYFnlHiL7AuJt09DydfHVU8a5E&amp;gclid=Cj0KCQjwxL7GBhDXARIsAGOcmIPf-NNGAqYpJERcda3UWFCJz1_7U0zTVIBhbQ2cUqwIIpjli_aaAZYaAhohEALw_wcB</t>
  </si>
  <si>
    <r>
      <rPr>
        <rFont val="Arial"/>
        <color theme="1"/>
      </rPr>
      <t xml:space="preserve">In-Line Fuse </t>
    </r>
    <r>
      <rPr>
        <rFont val="Arial"/>
        <b/>
        <color theme="1"/>
      </rPr>
      <t>(STILL TBD)</t>
    </r>
  </si>
  <si>
    <t>https://greatplainsindustries.com/products/15-amp-inline-blade-fuse-assembly?currency=USD&amp;variant=45309174612203&amp;utm_source=google&amp;utm_medium=cpc&amp;utm_campaign=Google%20Shopping&amp;stkn=a58b0943c3a3&amp;srsltid=AfmBOoqkjYlN-B0OjoPkA-O_3sAOCE-_kUCQOOv8S0REYq6af7ZgD4CSnPc</t>
  </si>
  <si>
    <t>Raspberry Pi SD Card</t>
  </si>
  <si>
    <r>
      <rPr>
        <color rgb="FF1155CC"/>
        <u/>
      </rPr>
      <t xml:space="preserve">GoBilda Original </t>
    </r>
    <r>
      <rPr/>
      <t xml:space="preserve">            </t>
    </r>
    <r>
      <rPr>
        <color rgb="FF1155CC"/>
        <u/>
      </rPr>
      <t>Amazon Link</t>
    </r>
  </si>
  <si>
    <t>https://www.onlinemetals.com/en/buy/1-8-inch-thick%252c-6-x-12-high-density-polyethylene-white-plastic-sheet-pack-of-2/pid/mp-00028007?_gl=1*dlib3b*_up*MQ..*_ga*MTUwNzAyODgwMS4xNzU5MjQwNjQ1*_ga_C74B6845SE*czE3NTkyNDA2NDQkbzEkZzAkdDE3NTkyNDA2NDQkajYwJGwwJGgw*_ga_DC4616R96N*czE3NTkyNDA2NDQkbzEkZzAkdDE3NTkyNDA2NDQkajYwJGwwJGgw</t>
  </si>
  <si>
    <t>Parallax Feedback 360 Degree - High Speed Continuous Rotation Servo</t>
  </si>
  <si>
    <t>https://www.parallax.com/product/parallax-feedback-360-high-speed-servo/</t>
  </si>
  <si>
    <r>
      <rPr>
        <color rgb="FF1155CC"/>
        <u/>
      </rPr>
      <t>20 Degree Pressure Angle Gear Rack, 32 Pitch | McMaster-Carr</t>
    </r>
  </si>
  <si>
    <t>3D Printing of tunnel and dispenser</t>
  </si>
  <si>
    <t>EIH (tentative to change)</t>
  </si>
  <si>
    <t>Possible plastic sheet. Use heat gun to mold into jelly bean chamber.</t>
  </si>
  <si>
    <t>ABS Bar Stock (1 ft)</t>
  </si>
  <si>
    <t>PETE Polyethylene Terephthalate Jelly Bean Chambers</t>
  </si>
  <si>
    <t>amazon link</t>
  </si>
  <si>
    <t>https://www.digikey.com/en/products/detail/alpha-wire/5952-BK001/3714462?gclsrc=aw.ds&amp;gad_source=1&amp;gad_campaignid=22518511088&amp;gbraid=0AAAAADrbLlhVhOLGFCPlUNazu0x0ttA0s&amp;gclid=Cj0KCQjwxL7GBhDXARIsAGOcmIPyQ8hwEqQjQgVImE37vOKvKr1mWB6dPkPzyWkGeovws5WE5QfGTfEaAvJSEALw_wcB</t>
  </si>
  <si>
    <t>https://www.walmart.com/ip/10Pcs-Buddy-Tape-Finger-Straps-Hook-Loop-Splint-Washable-Reusable-Toe-Straighteners-Curled-Toes-Support-Black/17094772032?wmlspartner=wlpa&amp;selectedSellerId=101044658&amp;wmlspartner=wlpa&amp;cn=FY25-ENTP-PMAX_cnv_dps_dsn_dis_ad_entp_e_n&amp;gclsrc=aw.ds&amp;adid=2222222229717094772032_101044658_0000000000_21407473164&amp;wl0=&amp;wl1=x&amp;wl2=c&amp;wl3=&amp;wl4=&amp;wl5=1017248&amp;wl6=&amp;wl7=&amp;wl8=&amp;wl9=pla&amp;wl10=276374024&amp;wl11=online&amp;wl12=17094772032_101044658&amp;veh=sem&amp;gad_source=1&amp;gad_campaignid=21690411341&amp;gbraid=0AAAAADmfBIop_VMkZGxGUztXQNDLx5Xnb&amp;gclid=Cj0KCQjw0NPGBhCDARIsAGAzpp09Hj-D8jirZ63Fy1QZetg9nVV2-cplttCXt_YcEuHNL-o4IEu5McAaAtNCEALw_wcB</t>
  </si>
  <si>
    <t>Nylon Webbing</t>
  </si>
  <si>
    <t>https://www.walmart.com/ip/Uxcell-Flat-Nylon-Webbing-Strap-2-Inch-20-Yards-Green-for-Backpack-Luggage-rack/937516920</t>
  </si>
  <si>
    <t>Ladder clasp</t>
  </si>
  <si>
    <t>Got from EIH</t>
  </si>
  <si>
    <t>Battery to nano connector</t>
  </si>
  <si>
    <t>https://www.amazon.com/dp/B08SL9X2YC/ref=sspa_dk_detail_3?pd_rd_i=B08SL9X2YC&amp;pd_rd_w=SXj0A&amp;content-id=amzn1.sym.f2f1cf8f-cab4-44dc-82ba-0ca811fb90cc&amp;pf_rd_p=f2f1cf8f-cab4-44dc-82ba-0ca811fb90cc&amp;pf_rd_r=3F1J4HGH5R4GFFR52PH2&amp;pd_rd_wg=WRLl2&amp;pd_rd_r=332dadce-8055-49ea-95e9-0ac63b05240a&amp;sp_csd=d2lkZ2V0TmFtZT1zcF9kZXRhaWxfdGhlbWF0aWM&amp;th=1</t>
  </si>
  <si>
    <t>9V Battery (4 pack)</t>
  </si>
  <si>
    <t>https://www.amazon.com/Quzmo-Rechargeable-Lithium-ion-Multimeters-Walkie-Talkie/dp/B0CRYBR876/ref=sr_1_6?dib=eyJ2IjoiMSJ9.AmbU2iWIJWmLrdxVTAnt282MGmjVjs086-2SWVfqZnUfPSwxeMfoGCBT6SzW_7msjsup7AEWUH9MjT7tZ4_8t0e9bolrgquHKyWZT5A79-VKktdHt-M5pSd1f2b24tdsbSC78NrPuV6_JL922AFxPWZNqUrCuq_hqDJ6fj46bDLilJ9e8B4Bfk9xByyp0NS6aKSSNoELk0ilNJu4eAaXr1C_sMkjAC1XTYVv4dyhExVyirpApBgoKmCeQK3opRM8v91XH6q70dIAgzv6DoR6nx5-5YE_TKO7Zjq-qrkVvdI.xeV7tGChITYND5UcpClBXA_y0Mxs-iZG48akDr7FHR4&amp;dib_tag=se&amp;keywords=9v%2Blithium%2Brechargeable%2Bbattery&amp;qid=1758642638&amp;sr=8-6&amp;th=1</t>
  </si>
  <si>
    <t>Yes, Applied</t>
  </si>
  <si>
    <t>Asked</t>
  </si>
  <si>
    <t>Yes, not yet submitted</t>
  </si>
  <si>
    <t>Motor to Back Wheel Couplers</t>
  </si>
  <si>
    <t>https://www.ebay.com/itm/165980580785</t>
  </si>
  <si>
    <r>
      <rPr>
        <rFont val="Arial"/>
        <color theme="1"/>
      </rPr>
      <t xml:space="preserve">Recharable Battery </t>
    </r>
    <r>
      <rPr>
        <rFont val="Arial"/>
        <b/>
        <color theme="1"/>
      </rPr>
      <t>(STILL TBD)</t>
    </r>
  </si>
  <si>
    <r>
      <rPr>
        <rFont val="Arial"/>
        <color theme="1"/>
      </rPr>
      <t xml:space="preserve">In-Line Fuse </t>
    </r>
    <r>
      <rPr>
        <rFont val="Arial"/>
        <b/>
        <color theme="1"/>
      </rPr>
      <t>(STILL TBD)</t>
    </r>
  </si>
  <si>
    <t>Adafruit Feedback 360 Degree - High Speed Continuous Rotation Servo</t>
  </si>
  <si>
    <t>https://www.adafruit.com/product/3614</t>
  </si>
  <si>
    <t>**David replaced this with the same one from gobuilda vs servo city to get the discount**</t>
  </si>
  <si>
    <r>
      <rPr>
        <color rgb="FF1155CC"/>
        <u/>
      </rPr>
      <t>20 Degree Pressure Angle Gear Rack, 32 Pitch | McMaster-Carr</t>
    </r>
  </si>
  <si>
    <t xml:space="preserve">Funnel </t>
  </si>
  <si>
    <t>https://www.acehardware.com/departments/lawn-and-garden/outdoor-power-equipment/funnels/73094</t>
  </si>
  <si>
    <t>TBD</t>
  </si>
  <si>
    <t>https://www.amazon.com/100PCS-Reusable-Cable-Ties-Multi-Purpose/dp/B08TTPX4KB/ref=sr_1_10?crid=3AO0XX6E18FN5&amp;dib=eyJ2IjoiMSJ9.5uxKrnhwYWYlS99sRUGol5WdDjhqdalzWfPKt2coPm9nhNE3vEc5eVInBM0FTfooiWFHpSmm9fOvw-Beq1wyCURKQiIkYznaU1ppuQTLK_FlPDgm_5CxKh9iCIgekrRzAhvQl-ehlm9E4s4KKaCjVGVBE3J5bzOCHZP6HlIjtAFJRXYv2sK5PKfPL5eKLPhZsj7wAyWEihAbZhFny3Z4QOJsrYWPqYhbHs5QYQVgEUE.ssU8pSmO4YohGc3aibTPUtze_gN_xwGgPL8R6VNDW3c&amp;dib_tag=se&amp;keywords=thin%2Bvelcro%2Bstrap&amp;qid=1759242218&amp;sprefix=thin%2Bvelcro%2Bstrap%2B%2Caps%2C136&amp;sr=8-10&amp;th=1</t>
  </si>
  <si>
    <t>https://www.amazon.com/PerkHomy-Webbing-Lightweight-Crafting-Repairing/dp/B0DKHCGQX8/ref=sr_1_2_sspa?dib=eyJ2IjoiMSJ9.Pda-R7EW_MfioyDKuUhetgMA2FHwFgVhe2z5H8evgaLWEfyZletO3rzE4DvLlRbzNzNicZRkWMqdtVHlRo-ZgGmDj4dzN_nAeM97bQ-w0KGHj7bvXO5kFiX5Kd0ZuTd-vMPR0__KZlzj-gV8psHJ4ifzEbDCuKMR-e667sKIY5ARoBJpUitUTlr5ym80Zx-IONKJfAO_f0qXTU9lRNenKQC0VMx9zyRki75qqlED2NWcab4X8PP2aQiWBdfBtY-7mE-CowFtZnQDPZtyeXATySBtdOXNrRkWpU0ZeJlNcuc._xfHV88g0eSTFwXjG6ERn8N_P_pe6NseAzwzG_Vou40&amp;dib_tag=se&amp;hvadid=694130734047&amp;hvdev=c&amp;hvexpln=67&amp;hvlocphy=9016261&amp;hvnetw=g&amp;hvocijid=4653629168605544221--&amp;hvqmt=b&amp;hvrand=4653629168605544221&amp;hvtargid=kwd-2034930858&amp;hydadcr=24634_13626630&amp;keywords=2%2Binch%2Bnylon%2Bwebbing&amp;mcid=2ef6ee1a3eaf34f1b0e99770c76534ec&amp;qid=1759242049&amp;sr=8-2-spons&amp;sp_csd=d2lkZ2V0TmFtZT1zcF9hdGY&amp;th=1</t>
  </si>
  <si>
    <t>https://www.amazon.com/Plastic-Ladder-Adjustable-Backpack-Webbing/dp/B07X6CKF9J/ref=sr_1_8?crid=2REO62JIF6PFA&amp;dib=eyJ2IjoiMSJ9.FBSX7gHO34VUYworgCPtvKCwvRa2ZLlRGeu0XCL2RfNBNAcTbs96EXjsrwz6S5S8rtSTd0Poa6M2HGvuoZD5vC4iWcAMByUFIPcBiNkoa43-kn94RbLg9nfIsYyNoyrbnJUuxkSAElTGKJ1WdMMOKVHWt8vSouOd5f76UZg1CSVkCrsUQQwyYVjaQoGoDog0ZkH25JUymkMYb4jHe4b_Gh08tRoFBjbcsrmHfUZVhKDz9oClDPTdokkIWP111RGBd5VThWPby2DXzyZAJtSUYCKok3zCpe2jvdV9IYLeEGE.qKpBfBWgHv0gLrdEVLP_RmnwDQYrvDuPduhLbl4L-k8&amp;dib_tag=se&amp;keywords=2%2Bin%2Bladder%2Block&amp;qid=1759242412&amp;sprefix=2%2Bin%2Bladder%2Block%2B%2Caps%2C126&amp;sr=8-8&amp;th=1</t>
  </si>
  <si>
    <t>System</t>
  </si>
  <si>
    <t>Component</t>
  </si>
  <si>
    <t>Links</t>
  </si>
  <si>
    <t>Cost (USD)</t>
  </si>
  <si>
    <t>Wearable Devices</t>
  </si>
  <si>
    <t>Thermistor x2</t>
  </si>
  <si>
    <t>Button x2</t>
  </si>
  <si>
    <t>Raspberry Pi SD card</t>
  </si>
  <si>
    <t>https://www.adafruit.com/product/6011</t>
  </si>
  <si>
    <t>Raspberry Pi (20W) x2</t>
  </si>
  <si>
    <t>https://www.amazon.com/Raspberry-Zero-Bluetooth-RPi-2W/dp/B09LH5SBPS/ref=sr_1_1?crid=IAYO9RHYYNDE&amp;dib=eyJ2IjoiMSJ9.3BENuF2Ktu1UHOlVshSOQbzOMw-RCTR_xgvcMZPiKB_TiMbTC0Kfmvd9ccD-1WiPSfAIvORbJUCnc3B4ci0u1t34-E_YR7j7Aca9zlrt3pIhKnooj0ZaYcoEPhWQIUjfpjw6dd1Q2lY0tGYMR8zjJwyM7PBSK8LdZGx4C1BPQqfEpP0G7AuIO7iSJPEI1YfiUAh7Yf1aju6KNsxJ_xjoyk01n794R3foEM2nHxRddyNsE3UmePMEPhuILvu8b3LHXwI7KiGTo0CysIUnO6Yxv1LoCLopMta52uQvhKapzjg.xdKXkecY2uiIA-oP3PhjkSMjNbgXGQlTGpyOYGTpEws&amp;dib_tag=se&amp;keywords=raspberry+pi+02w&amp;qid=1758490121&amp;s=electronics&amp;sprefix=raspberry+pi+02w%2Celectronics%2C111&amp;sr=1-1</t>
  </si>
  <si>
    <t xml:space="preserve">Disposable battery pack </t>
  </si>
  <si>
    <t>amazon.com/Powermax-24-Count-Batteries-Recloseable-Packaging/dp/B0BFFQQHRY/ref=sr_1_7?crid=349M4RTAKP3LU&amp;dib=eyJ2IjoiMSJ9.sDk8mHya1-twxNdSRCH3uOxsUV1iruH7wiWHxBgGFYyKl3uY8UYWyDVfF4KMip1aPt2ZVJL_lywPfxiIlBhgTNbCRPPH-Q_7KX9nnbsSJ6lO_THu7adO5YgocwDSKVa6f9L2rJIgh18TOmz3GaER-UVfJMFUuslyFzbEF3JXdWutOql7wsIn1SBEIz9l6Ap2t0Q7EfCtcTYL8E4JrPx25kPJ1GRlujiqCmhkaXoJ299PELBy73ahflFJOcaGy0LUzXB-_DZw8v3W8ZvAPzs3IbupzI-kZAjLeRO8HnY646k.xKhxhNfhXkvZy7WOmhx3OiHYHpOxH-rPpamI53eGUH4&amp;dib_tag=se&amp;keywords=aaa+batteries&amp;qid=1758489895&amp;rdc=1&amp;sprefix=aaa+batteries%2Caps%2C147&amp;sr=8-7</t>
  </si>
  <si>
    <t>Velcro straps</t>
  </si>
  <si>
    <t>https://www.amazon.com/WSZJINB-Reusable-Securing-Management-Organizer/dp/B09YPZBSMK/ref=ast_sto_dp_puis?th=1</t>
  </si>
  <si>
    <t>Koozies</t>
  </si>
  <si>
    <t xml:space="preserve">Both koozies </t>
  </si>
  <si>
    <t>3D Print</t>
  </si>
  <si>
    <t>Dispenser</t>
  </si>
  <si>
    <t xml:space="preserve">Servo </t>
  </si>
  <si>
    <t>Servo Gear</t>
  </si>
  <si>
    <t>https://www.servocity.com/2305-series-brass-mod-0-8-servo-gear-25-tooth-spline-20-tooth/</t>
  </si>
  <si>
    <t xml:space="preserve">Gear Rack </t>
  </si>
  <si>
    <t>https://www.mcmaster.com/products/gear-racks/plastic-gears-and-gear-racks-20-pressure-angle/</t>
  </si>
  <si>
    <t>Rack Guide Tunnel and Dispenser</t>
  </si>
  <si>
    <t>3D print</t>
  </si>
  <si>
    <t>Pill Chambers</t>
  </si>
  <si>
    <t>Gear Rack Rectangular Stock</t>
  </si>
  <si>
    <t>Motors x2</t>
  </si>
  <si>
    <t>Motor Coupler x2</t>
  </si>
  <si>
    <t>Back Wheels x2</t>
  </si>
  <si>
    <t>Front Wheels x2</t>
  </si>
  <si>
    <t>Motor Controller x2</t>
  </si>
  <si>
    <t>https://www.gobilda.com/roboclaw-2x7a-motor-controller/</t>
  </si>
  <si>
    <t>Axel + Adaptor</t>
  </si>
  <si>
    <t xml:space="preserve">Screws and fasteners </t>
  </si>
  <si>
    <t>U-Channels 9 Hole x6</t>
  </si>
  <si>
    <t>Electronics</t>
  </si>
  <si>
    <t>Raspberry Pi</t>
  </si>
  <si>
    <t xml:space="preserve">Recharagable Battery </t>
  </si>
  <si>
    <t>Fuse</t>
  </si>
  <si>
    <t>Total</t>
  </si>
  <si>
    <t>Pill Dispener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</si>
</sst>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"/>
  </numFmts>
  <fonts count="50">
    <font>
      <sz val="10.0"/>
      <color rgb="FF000000"/>
      <name val="Arial"/>
      <scheme val="minor"/>
    </font>
    <font>
      <b/>
      <sz val="16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u/>
      <color rgb="FF1155CC"/>
      <name val="Arial"/>
    </font>
    <font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  <scheme val="minor"/>
    </font>
    <font>
      <u/>
      <color rgb="FF0000FF"/>
    </font>
    <font>
      <u/>
      <color rgb="FF0000FF"/>
    </font>
    <font>
      <sz val="10.0"/>
      <color rgb="FF000000"/>
      <name val="Arial"/>
    </font>
    <font>
      <color theme="1"/>
      <name val="Arial"/>
      <scheme val="minor"/>
    </font>
    <font>
      <u/>
      <color rgb="FF1155CC"/>
      <name val="Arial"/>
    </font>
    <font>
      <sz val="10.0"/>
      <color theme="1"/>
      <name val="Arial"/>
      <scheme val="minor"/>
    </font>
    <font>
      <color rgb="FF0F1111"/>
      <name val="&quot;Amazon Ember&quot;"/>
    </font>
    <font>
      <u/>
      <color rgb="FF1155CC"/>
      <name val="Arial"/>
    </font>
    <font>
      <color rgb="FF0F1111"/>
      <name val="Arial"/>
    </font>
    <font>
      <u/>
      <color rgb="FF0000FF"/>
    </font>
    <font>
      <color rgb="FF202020"/>
      <name val="Helvetica-neue-75-bold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color rgb="FF000000"/>
      <name val="Arial"/>
    </font>
    <font>
      <u/>
      <color rgb="FF0000FF"/>
    </font>
    <font/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</fills>
  <borders count="32">
    <border/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3" fontId="1" numFmtId="0" xfId="0" applyAlignment="1" applyFill="1" applyFont="1">
      <alignment horizontal="center"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4" fontId="6" numFmtId="0" xfId="0" applyAlignment="1" applyFill="1" applyFont="1">
      <alignment readingOrder="0" shrinkToFit="0" vertical="bottom" wrapText="1"/>
    </xf>
    <xf borderId="0" fillId="5" fontId="6" numFmtId="0" xfId="0" applyAlignment="1" applyFill="1" applyFont="1">
      <alignment shrinkToFit="0" vertical="bottom" wrapText="1"/>
    </xf>
    <xf borderId="0" fillId="0" fontId="6" numFmtId="0" xfId="0" applyAlignment="1" applyFont="1">
      <alignment horizontal="right" shrinkToFit="0" vertical="bottom" wrapText="1"/>
    </xf>
    <xf borderId="0" fillId="0" fontId="6" numFmtId="164" xfId="0" applyAlignment="1" applyFont="1" applyNumberFormat="1">
      <alignment horizontal="right" readingOrder="0" shrinkToFit="0" vertical="bottom" wrapText="1"/>
    </xf>
    <xf borderId="0" fillId="0" fontId="6" numFmtId="164" xfId="0" applyAlignment="1" applyFont="1" applyNumberFormat="1">
      <alignment horizontal="right" shrinkToFit="0" vertical="bottom" wrapText="1"/>
    </xf>
    <xf borderId="0" fillId="4" fontId="7" numFmtId="165" xfId="0" applyAlignment="1" applyFont="1" applyNumberFormat="1">
      <alignment horizontal="right" readingOrder="0" shrinkToFit="0" vertical="bottom" wrapText="1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1"/>
    </xf>
    <xf borderId="0" fillId="0" fontId="10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1"/>
    </xf>
    <xf borderId="0" fillId="0" fontId="6" numFmtId="0" xfId="0" applyAlignment="1" applyFont="1">
      <alignment horizontal="right" shrinkToFit="0" vertical="bottom" wrapText="1"/>
    </xf>
    <xf borderId="0" fillId="0" fontId="11" numFmtId="0" xfId="0" applyAlignment="1" applyFont="1">
      <alignment shrinkToFit="0" vertical="bottom" wrapText="1"/>
    </xf>
    <xf borderId="0" fillId="0" fontId="6" numFmtId="0" xfId="0" applyAlignment="1" applyFont="1">
      <alignment horizontal="right" readingOrder="0" shrinkToFit="0" vertical="bottom" wrapText="1"/>
    </xf>
    <xf borderId="0" fillId="4" fontId="7" numFmtId="165" xfId="0" applyAlignment="1" applyFont="1" applyNumberFormat="1">
      <alignment horizontal="right" readingOrder="0" shrinkToFit="0" vertical="bottom" wrapText="1"/>
    </xf>
    <xf borderId="0" fillId="0" fontId="12" numFmtId="0" xfId="0" applyAlignment="1" applyFont="1">
      <alignment readingOrder="0" shrinkToFit="0" vertical="bottom" wrapText="1"/>
    </xf>
    <xf borderId="0" fillId="5" fontId="6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5" fontId="6" numFmtId="0" xfId="0" applyAlignment="1" applyFont="1">
      <alignment shrinkToFit="0" vertical="bottom" wrapText="1"/>
    </xf>
    <xf borderId="0" fillId="6" fontId="7" numFmtId="165" xfId="0" applyAlignment="1" applyFill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15" numFmtId="0" xfId="0" applyAlignment="1" applyFont="1">
      <alignment readingOrder="0" shrinkToFit="0" vertical="bottom" wrapText="0"/>
    </xf>
    <xf borderId="0" fillId="4" fontId="7" numFmtId="165" xfId="0" applyAlignment="1" applyFont="1" applyNumberFormat="1">
      <alignment horizontal="right" readingOrder="0" shrinkToFit="0" vertical="bottom" wrapText="0"/>
    </xf>
    <xf borderId="0" fillId="0" fontId="6" numFmtId="164" xfId="0" applyAlignment="1" applyFont="1" applyNumberFormat="1">
      <alignment readingOrder="0" shrinkToFit="0" vertical="bottom" wrapText="1"/>
    </xf>
    <xf borderId="0" fillId="6" fontId="16" numFmtId="165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wrapText="0"/>
    </xf>
    <xf borderId="0" fillId="0" fontId="18" numFmtId="0" xfId="0" applyAlignment="1" applyFont="1">
      <alignment readingOrder="0" shrinkToFit="0" wrapText="0"/>
    </xf>
    <xf borderId="0" fillId="5" fontId="19" numFmtId="0" xfId="0" applyAlignment="1" applyFont="1">
      <alignment readingOrder="0"/>
    </xf>
    <xf borderId="0" fillId="4" fontId="16" numFmtId="165" xfId="0" applyAlignment="1" applyFont="1" applyNumberFormat="1">
      <alignment horizontal="right" readingOrder="0" shrinkToFit="0" wrapText="0"/>
    </xf>
    <xf borderId="0" fillId="7" fontId="16" numFmtId="165" xfId="0" applyAlignment="1" applyFill="1" applyFont="1" applyNumberFormat="1">
      <alignment horizontal="right" readingOrder="0" shrinkToFit="0" wrapText="0"/>
    </xf>
    <xf borderId="0" fillId="8" fontId="16" numFmtId="165" xfId="0" applyAlignment="1" applyFill="1" applyFont="1" applyNumberFormat="1">
      <alignment horizontal="right" readingOrder="0" shrinkToFit="0" wrapText="0"/>
    </xf>
    <xf borderId="0" fillId="0" fontId="20" numFmtId="0" xfId="0" applyAlignment="1" applyFont="1">
      <alignment readingOrder="0" shrinkToFit="0" wrapText="0"/>
    </xf>
    <xf borderId="0" fillId="9" fontId="16" numFmtId="165" xfId="0" applyAlignment="1" applyFill="1" applyFont="1" applyNumberFormat="1">
      <alignment horizontal="right" readingOrder="0" shrinkToFit="0" wrapText="0"/>
    </xf>
    <xf borderId="0" fillId="0" fontId="7" numFmtId="0" xfId="0" applyAlignment="1" applyFont="1">
      <alignment readingOrder="0" shrinkToFit="0" vertical="bottom" wrapText="0"/>
    </xf>
    <xf borderId="0" fillId="7" fontId="6" numFmtId="0" xfId="0" applyAlignment="1" applyFont="1">
      <alignment readingOrder="0" shrinkToFit="0" vertical="bottom" wrapText="1"/>
    </xf>
    <xf borderId="0" fillId="0" fontId="21" numFmtId="0" xfId="0" applyAlignment="1" applyFont="1">
      <alignment readingOrder="0" shrinkToFit="0" vertical="bottom" wrapText="1"/>
    </xf>
    <xf borderId="0" fillId="7" fontId="6" numFmtId="0" xfId="0" applyAlignment="1" applyFont="1">
      <alignment shrinkToFit="0" vertical="bottom" wrapText="1"/>
    </xf>
    <xf borderId="0" fillId="5" fontId="22" numFmtId="0" xfId="0" applyAlignment="1" applyFont="1">
      <alignment readingOrder="0"/>
    </xf>
    <xf borderId="0" fillId="5" fontId="23" numFmtId="0" xfId="0" applyAlignment="1" applyFont="1">
      <alignment readingOrder="0"/>
    </xf>
    <xf borderId="0" fillId="6" fontId="7" numFmtId="165" xfId="0" applyAlignment="1" applyFont="1" applyNumberFormat="1">
      <alignment horizontal="right" readingOrder="0" shrinkToFit="0" vertical="bottom" wrapText="1"/>
    </xf>
    <xf borderId="0" fillId="0" fontId="24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/>
    </xf>
    <xf borderId="0" fillId="5" fontId="25" numFmtId="0" xfId="0" applyAlignment="1" applyFont="1">
      <alignment readingOrder="0"/>
    </xf>
    <xf borderId="0" fillId="5" fontId="0" numFmtId="0" xfId="0" applyAlignment="1" applyFont="1">
      <alignment readingOrder="0"/>
    </xf>
    <xf borderId="0" fillId="6" fontId="7" numFmtId="165" xfId="0" applyAlignment="1" applyFont="1" applyNumberFormat="1">
      <alignment horizontal="right" readingOrder="0" shrinkToFit="0" vertical="bottom" wrapText="1"/>
    </xf>
    <xf borderId="0" fillId="0" fontId="26" numFmtId="0" xfId="0" applyAlignment="1" applyFont="1">
      <alignment readingOrder="0"/>
    </xf>
    <xf borderId="0" fillId="5" fontId="27" numFmtId="0" xfId="0" applyAlignment="1" applyFont="1">
      <alignment readingOrder="0"/>
    </xf>
    <xf borderId="0" fillId="3" fontId="16" numFmtId="165" xfId="0" applyAlignment="1" applyFont="1" applyNumberFormat="1">
      <alignment horizontal="right" readingOrder="0" shrinkToFit="0" wrapText="0"/>
    </xf>
    <xf borderId="0" fillId="10" fontId="6" numFmtId="0" xfId="0" applyAlignment="1" applyFill="1" applyFont="1">
      <alignment readingOrder="0" shrinkToFit="0" vertical="bottom" wrapText="1"/>
    </xf>
    <xf borderId="0" fillId="10" fontId="6" numFmtId="0" xfId="0" applyAlignment="1" applyFont="1">
      <alignment shrinkToFit="0" vertical="bottom" wrapText="1"/>
    </xf>
    <xf borderId="0" fillId="4" fontId="16" numFmtId="165" xfId="0" applyAlignment="1" applyFont="1" applyNumberFormat="1">
      <alignment horizontal="right" readingOrder="0"/>
    </xf>
    <xf borderId="0" fillId="0" fontId="28" numFmtId="0" xfId="0" applyAlignment="1" applyFont="1">
      <alignment readingOrder="0"/>
    </xf>
    <xf borderId="0" fillId="6" fontId="16" numFmtId="165" xfId="0" applyAlignment="1" applyFont="1" applyNumberFormat="1">
      <alignment horizontal="right" readingOrder="0"/>
    </xf>
    <xf borderId="0" fillId="0" fontId="29" numFmtId="0" xfId="0" applyAlignment="1" applyFont="1">
      <alignment readingOrder="0" shrinkToFit="0" wrapText="0"/>
    </xf>
    <xf borderId="0" fillId="0" fontId="7" numFmtId="0" xfId="0" applyAlignment="1" applyFont="1">
      <alignment horizontal="right" readingOrder="0" shrinkToFit="0" vertical="bottom" wrapText="1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20" numFmtId="164" xfId="0" applyAlignment="1" applyFont="1" applyNumberFormat="1">
      <alignment readingOrder="0"/>
    </xf>
    <xf borderId="0" fillId="6" fontId="16" numFmtId="165" xfId="0" applyAlignment="1" applyFont="1" applyNumberFormat="1">
      <alignment horizontal="right" readingOrder="0"/>
    </xf>
    <xf borderId="0" fillId="4" fontId="7" numFmtId="0" xfId="0" applyAlignment="1" applyFont="1">
      <alignment horizontal="right" readingOrder="0" shrinkToFit="0" vertical="bottom" wrapText="1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1"/>
    </xf>
    <xf borderId="0" fillId="6" fontId="7" numFmtId="0" xfId="0" applyAlignment="1" applyFont="1">
      <alignment horizontal="right" readingOrder="0" shrinkToFit="0" vertical="bottom" wrapText="1"/>
    </xf>
    <xf borderId="0" fillId="0" fontId="30" numFmtId="0" xfId="0" applyAlignment="1" applyFont="1">
      <alignment readingOrder="0" shrinkToFit="0" vertical="bottom" wrapText="1"/>
    </xf>
    <xf borderId="0" fillId="11" fontId="6" numFmtId="0" xfId="0" applyAlignment="1" applyFill="1" applyFont="1">
      <alignment readingOrder="0" shrinkToFit="0" vertical="bottom" wrapText="1"/>
    </xf>
    <xf borderId="0" fillId="5" fontId="6" numFmtId="0" xfId="0" applyAlignment="1" applyFont="1">
      <alignment horizontal="right" readingOrder="0" shrinkToFit="0" vertical="bottom" wrapText="1"/>
    </xf>
    <xf borderId="0" fillId="5" fontId="6" numFmtId="164" xfId="0" applyAlignment="1" applyFont="1" applyNumberFormat="1">
      <alignment horizontal="right" readingOrder="0" shrinkToFit="0" vertical="bottom" wrapText="1"/>
    </xf>
    <xf borderId="0" fillId="5" fontId="7" numFmtId="0" xfId="0" applyAlignment="1" applyFont="1">
      <alignment horizontal="right" shrinkToFit="0" vertical="bottom" wrapText="1"/>
    </xf>
    <xf borderId="0" fillId="5" fontId="6" numFmtId="0" xfId="0" applyAlignment="1" applyFont="1">
      <alignment shrinkToFit="0" vertical="bottom" wrapText="0"/>
    </xf>
    <xf borderId="0" fillId="12" fontId="6" numFmtId="0" xfId="0" applyAlignment="1" applyFill="1" applyFont="1">
      <alignment readingOrder="0" shrinkToFit="0" vertical="bottom" wrapText="1"/>
    </xf>
    <xf borderId="0" fillId="8" fontId="16" numFmtId="165" xfId="0" applyAlignment="1" applyFont="1" applyNumberFormat="1">
      <alignment horizontal="right" readingOrder="0" shrinkToFit="0" wrapText="0"/>
    </xf>
    <xf borderId="0" fillId="0" fontId="31" numFmtId="0" xfId="0" applyAlignment="1" applyFont="1">
      <alignment readingOrder="0" shrinkToFit="0" vertical="bottom" wrapText="0"/>
    </xf>
    <xf borderId="0" fillId="0" fontId="32" numFmtId="0" xfId="0" applyAlignment="1" applyFont="1">
      <alignment readingOrder="0" shrinkToFit="0" vertical="bottom" wrapText="1"/>
    </xf>
    <xf borderId="0" fillId="12" fontId="6" numFmtId="0" xfId="0" applyAlignment="1" applyFont="1">
      <alignment shrinkToFit="0" vertical="bottom" wrapText="1"/>
    </xf>
    <xf borderId="0" fillId="7" fontId="16" numFmtId="165" xfId="0" applyAlignment="1" applyFont="1" applyNumberFormat="1">
      <alignment horizontal="right" readingOrder="0" shrinkToFit="0" wrapText="0"/>
    </xf>
    <xf borderId="0" fillId="0" fontId="20" numFmtId="0" xfId="0" applyAlignment="1" applyFont="1">
      <alignment readingOrder="0" shrinkToFit="0" wrapText="0"/>
    </xf>
    <xf borderId="0" fillId="0" fontId="33" numFmtId="0" xfId="0" applyAlignment="1" applyFont="1">
      <alignment readingOrder="0" shrinkToFit="0" wrapText="0"/>
    </xf>
    <xf borderId="0" fillId="7" fontId="7" numFmtId="165" xfId="0" applyAlignment="1" applyFont="1" applyNumberFormat="1">
      <alignment horizontal="right" readingOrder="0" shrinkToFit="0" vertical="bottom" wrapText="1"/>
    </xf>
    <xf borderId="0" fillId="4" fontId="7" numFmtId="165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12" fontId="16" numFmtId="165" xfId="0" applyAlignment="1" applyFont="1" applyNumberFormat="1">
      <alignment horizontal="right" readingOrder="0" shrinkToFit="0" wrapText="0"/>
    </xf>
    <xf borderId="0" fillId="0" fontId="6" numFmtId="164" xfId="0" applyAlignment="1" applyFont="1" applyNumberFormat="1">
      <alignment shrinkToFit="0" vertical="bottom" wrapText="1"/>
    </xf>
    <xf borderId="0" fillId="0" fontId="7" numFmtId="0" xfId="0" applyAlignment="1" applyFont="1">
      <alignment horizontal="right" shrinkToFit="0" vertical="bottom" wrapText="1"/>
    </xf>
    <xf borderId="0" fillId="11" fontId="6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13" fontId="6" numFmtId="0" xfId="0" applyAlignment="1" applyFill="1" applyFont="1">
      <alignment shrinkToFit="0" vertical="bottom" wrapText="1"/>
    </xf>
    <xf borderId="0" fillId="13" fontId="6" numFmtId="164" xfId="0" applyAlignment="1" applyFont="1" applyNumberFormat="1">
      <alignment shrinkToFit="0" vertical="bottom" wrapText="1"/>
    </xf>
    <xf borderId="0" fillId="13" fontId="6" numFmtId="164" xfId="0" applyAlignment="1" applyFont="1" applyNumberFormat="1">
      <alignment horizontal="right" shrinkToFit="0" vertical="bottom" wrapText="1"/>
    </xf>
    <xf borderId="0" fillId="0" fontId="20" numFmtId="0" xfId="0" applyAlignment="1" applyFont="1">
      <alignment horizontal="right" readingOrder="0"/>
    </xf>
    <xf borderId="0" fillId="0" fontId="20" numFmtId="0" xfId="0" applyAlignment="1" applyFont="1">
      <alignment horizontal="left" readingOrder="0"/>
    </xf>
    <xf borderId="0" fillId="0" fontId="34" numFmtId="0" xfId="0" applyAlignment="1" applyFont="1">
      <alignment readingOrder="0"/>
    </xf>
    <xf borderId="0" fillId="5" fontId="6" numFmtId="164" xfId="0" applyAlignment="1" applyFont="1" applyNumberFormat="1">
      <alignment horizontal="right" shrinkToFit="0" vertical="bottom" wrapText="1"/>
    </xf>
    <xf borderId="1" fillId="0" fontId="35" numFmtId="0" xfId="0" applyAlignment="1" applyBorder="1" applyFont="1">
      <alignment readingOrder="0" shrinkToFit="0" wrapText="0"/>
    </xf>
    <xf borderId="0" fillId="0" fontId="36" numFmtId="0" xfId="0" applyAlignment="1" applyFont="1">
      <alignment readingOrder="0" shrinkToFit="0" wrapText="1"/>
    </xf>
    <xf borderId="0" fillId="0" fontId="37" numFmtId="0" xfId="0" applyAlignment="1" applyFont="1">
      <alignment readingOrder="0" shrinkToFit="0" vertical="bottom" wrapText="1"/>
    </xf>
    <xf borderId="0" fillId="14" fontId="20" numFmtId="0" xfId="0" applyAlignment="1" applyFill="1" applyFont="1">
      <alignment readingOrder="0"/>
    </xf>
    <xf borderId="2" fillId="14" fontId="20" numFmtId="0" xfId="0" applyAlignment="1" applyBorder="1" applyFont="1">
      <alignment readingOrder="0"/>
    </xf>
    <xf borderId="3" fillId="14" fontId="20" numFmtId="0" xfId="0" applyAlignment="1" applyBorder="1" applyFont="1">
      <alignment readingOrder="0"/>
    </xf>
    <xf borderId="4" fillId="14" fontId="20" numFmtId="0" xfId="0" applyAlignment="1" applyBorder="1" applyFont="1">
      <alignment readingOrder="0"/>
    </xf>
    <xf borderId="5" fillId="14" fontId="20" numFmtId="0" xfId="0" applyAlignment="1" applyBorder="1" applyFont="1">
      <alignment readingOrder="0"/>
    </xf>
    <xf borderId="6" fillId="14" fontId="20" numFmtId="0" xfId="0" applyAlignment="1" applyBorder="1" applyFont="1">
      <alignment readingOrder="0"/>
    </xf>
    <xf borderId="7" fillId="0" fontId="20" numFmtId="0" xfId="0" applyAlignment="1" applyBorder="1" applyFont="1">
      <alignment readingOrder="0"/>
    </xf>
    <xf borderId="1" fillId="0" fontId="38" numFmtId="0" xfId="0" applyAlignment="1" applyBorder="1" applyFont="1">
      <alignment readingOrder="0"/>
    </xf>
    <xf borderId="8" fillId="0" fontId="20" numFmtId="0" xfId="0" applyAlignment="1" applyBorder="1" applyFont="1">
      <alignment readingOrder="0"/>
    </xf>
    <xf borderId="6" fillId="0" fontId="39" numFmtId="0" xfId="0" applyBorder="1" applyFont="1"/>
    <xf borderId="9" fillId="0" fontId="20" numFmtId="0" xfId="0" applyAlignment="1" applyBorder="1" applyFont="1">
      <alignment readingOrder="0"/>
    </xf>
    <xf borderId="10" fillId="0" fontId="40" numFmtId="0" xfId="0" applyAlignment="1" applyBorder="1" applyFont="1">
      <alignment readingOrder="0" shrinkToFit="0" wrapText="0"/>
    </xf>
    <xf borderId="11" fillId="0" fontId="20" numFmtId="0" xfId="0" applyAlignment="1" applyBorder="1" applyFont="1">
      <alignment readingOrder="0"/>
    </xf>
    <xf borderId="10" fillId="0" fontId="41" numFmtId="0" xfId="0" applyAlignment="1" applyBorder="1" applyFont="1">
      <alignment readingOrder="0"/>
    </xf>
    <xf borderId="12" fillId="0" fontId="39" numFmtId="0" xfId="0" applyBorder="1" applyFont="1"/>
    <xf borderId="13" fillId="0" fontId="20" numFmtId="0" xfId="0" applyAlignment="1" applyBorder="1" applyFont="1">
      <alignment readingOrder="0"/>
    </xf>
    <xf borderId="14" fillId="0" fontId="42" numFmtId="0" xfId="0" applyAlignment="1" applyBorder="1" applyFont="1">
      <alignment readingOrder="0"/>
    </xf>
    <xf borderId="15" fillId="0" fontId="20" numFmtId="0" xfId="0" applyAlignment="1" applyBorder="1" applyFont="1">
      <alignment readingOrder="0"/>
    </xf>
    <xf borderId="12" fillId="14" fontId="20" numFmtId="0" xfId="0" applyAlignment="1" applyBorder="1" applyFont="1">
      <alignment readingOrder="0"/>
    </xf>
    <xf borderId="16" fillId="0" fontId="20" numFmtId="0" xfId="0" applyAlignment="1" applyBorder="1" applyFont="1">
      <alignment readingOrder="0"/>
    </xf>
    <xf borderId="14" fillId="0" fontId="20" numFmtId="0" xfId="0" applyAlignment="1" applyBorder="1" applyFont="1">
      <alignment readingOrder="0"/>
    </xf>
    <xf borderId="17" fillId="0" fontId="20" numFmtId="0" xfId="0" applyAlignment="1" applyBorder="1" applyFont="1">
      <alignment readingOrder="0"/>
    </xf>
    <xf borderId="0" fillId="0" fontId="43" numFmtId="0" xfId="0" applyAlignment="1" applyFont="1">
      <alignment readingOrder="0" shrinkToFit="0" vertical="bottom" wrapText="0"/>
    </xf>
    <xf borderId="10" fillId="0" fontId="20" numFmtId="0" xfId="0" applyAlignment="1" applyBorder="1" applyFont="1">
      <alignment readingOrder="0"/>
    </xf>
    <xf borderId="18" fillId="0" fontId="44" numFmtId="0" xfId="0" applyAlignment="1" applyBorder="1" applyFont="1">
      <alignment readingOrder="0"/>
    </xf>
    <xf borderId="19" fillId="0" fontId="20" numFmtId="0" xfId="0" applyAlignment="1" applyBorder="1" applyFont="1">
      <alignment readingOrder="0"/>
    </xf>
    <xf borderId="18" fillId="0" fontId="20" numFmtId="0" xfId="0" applyAlignment="1" applyBorder="1" applyFont="1">
      <alignment readingOrder="0"/>
    </xf>
    <xf borderId="20" fillId="0" fontId="7" numFmtId="0" xfId="0" applyAlignment="1" applyBorder="1" applyFont="1">
      <alignment readingOrder="0" shrinkToFit="0" vertical="bottom" wrapText="0"/>
    </xf>
    <xf borderId="21" fillId="0" fontId="45" numFmtId="0" xfId="0" applyAlignment="1" applyBorder="1" applyFont="1">
      <alignment readingOrder="0" shrinkToFit="0" vertical="bottom" wrapText="0"/>
    </xf>
    <xf borderId="20" fillId="0" fontId="46" numFmtId="0" xfId="0" applyAlignment="1" applyBorder="1" applyFont="1">
      <alignment readingOrder="0"/>
    </xf>
    <xf borderId="22" fillId="0" fontId="20" numFmtId="0" xfId="0" applyAlignment="1" applyBorder="1" applyFont="1">
      <alignment readingOrder="0"/>
    </xf>
    <xf borderId="22" fillId="0" fontId="47" numFmtId="0" xfId="0" applyAlignment="1" applyBorder="1" applyFont="1">
      <alignment readingOrder="0"/>
    </xf>
    <xf borderId="23" fillId="0" fontId="39" numFmtId="0" xfId="0" applyBorder="1" applyFont="1"/>
    <xf borderId="24" fillId="0" fontId="20" numFmtId="0" xfId="0" applyAlignment="1" applyBorder="1" applyFont="1">
      <alignment readingOrder="0"/>
    </xf>
    <xf borderId="25" fillId="0" fontId="48" numFmtId="0" xfId="0" applyAlignment="1" applyBorder="1" applyFont="1">
      <alignment readingOrder="0"/>
    </xf>
    <xf borderId="3" fillId="14" fontId="20" numFmtId="0" xfId="0" applyBorder="1" applyFont="1"/>
    <xf borderId="0" fillId="5" fontId="6" numFmtId="0" xfId="0" applyAlignment="1" applyFont="1">
      <alignment readingOrder="0" shrinkToFit="0" vertical="bottom" wrapText="0"/>
    </xf>
    <xf borderId="8" fillId="0" fontId="20" numFmtId="164" xfId="0" applyAlignment="1" applyBorder="1" applyFont="1" applyNumberFormat="1">
      <alignment readingOrder="0"/>
    </xf>
    <xf borderId="0" fillId="0" fontId="6" numFmtId="0" xfId="0" applyAlignment="1" applyFont="1">
      <alignment readingOrder="0" shrinkToFit="0" vertical="bottom" wrapText="0"/>
    </xf>
    <xf borderId="0" fillId="5" fontId="6" numFmtId="0" xfId="0" applyAlignment="1" applyFont="1">
      <alignment shrinkToFit="0" vertical="bottom" wrapText="0"/>
    </xf>
    <xf borderId="26" fillId="0" fontId="20" numFmtId="0" xfId="0" applyAlignment="1" applyBorder="1" applyFont="1">
      <alignment readingOrder="0"/>
    </xf>
    <xf borderId="27" fillId="0" fontId="20" numFmtId="164" xfId="0" applyAlignment="1" applyBorder="1" applyFont="1" applyNumberFormat="1">
      <alignment readingOrder="0"/>
    </xf>
    <xf borderId="28" fillId="14" fontId="20" numFmtId="0" xfId="0" applyAlignment="1" applyBorder="1" applyFont="1">
      <alignment readingOrder="0"/>
    </xf>
    <xf borderId="29" fillId="0" fontId="20" numFmtId="0" xfId="0" applyAlignment="1" applyBorder="1" applyFont="1">
      <alignment readingOrder="0"/>
    </xf>
    <xf borderId="30" fillId="0" fontId="49" numFmtId="0" xfId="0" applyAlignment="1" applyBorder="1" applyFont="1">
      <alignment readingOrder="0"/>
    </xf>
    <xf borderId="31" fillId="0" fontId="20" numFmtId="164" xfId="0" applyAlignment="1" applyBorder="1" applyFont="1" applyNumberFormat="1">
      <alignment readingOrder="0"/>
    </xf>
    <xf borderId="0" fillId="5" fontId="19" numFmtId="0" xfId="0" applyAlignment="1" applyFont="1">
      <alignment readingOrder="0" shrinkToFit="0" wrapText="0"/>
    </xf>
    <xf borderId="17" fillId="0" fontId="20" numFmtId="164" xfId="0" applyAlignment="1" applyBorder="1" applyFont="1" applyNumberFormat="1">
      <alignment readingOrder="0"/>
    </xf>
    <xf borderId="1" fillId="0" fontId="20" numFmtId="0" xfId="0" applyAlignment="1" applyBorder="1" applyFont="1">
      <alignment readingOrder="0"/>
    </xf>
    <xf borderId="0" fillId="5" fontId="22" numFmtId="0" xfId="0" applyAlignment="1" applyFont="1">
      <alignment readingOrder="0" shrinkToFit="0" wrapText="0"/>
    </xf>
    <xf borderId="0" fillId="5" fontId="23" numFmtId="0" xfId="0" applyAlignment="1" applyFont="1">
      <alignment readingOrder="0" shrinkToFit="0" wrapText="0"/>
    </xf>
    <xf borderId="0" fillId="5" fontId="0" numFmtId="0" xfId="0" applyAlignment="1" applyFont="1">
      <alignment readingOrder="0" shrinkToFit="0" wrapText="0"/>
    </xf>
    <xf borderId="3" fillId="0" fontId="20" numFmtId="0" xfId="0" applyAlignment="1" applyBorder="1" applyFont="1">
      <alignment readingOrder="0"/>
    </xf>
    <xf borderId="4" fillId="0" fontId="20" numFmtId="0" xfId="0" applyAlignment="1" applyBorder="1" applyFont="1">
      <alignment readingOrder="0"/>
    </xf>
    <xf borderId="5" fillId="0" fontId="20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bpFnFNl3BLED7mmrxZh7vgY9uvHRqW9e" TargetMode="External"/><Relationship Id="rId83" Type="http://schemas.openxmlformats.org/officeDocument/2006/relationships/drawing" Target="../drawings/drawing1.xml"/><Relationship Id="rId42" Type="http://schemas.openxmlformats.org/officeDocument/2006/relationships/hyperlink" Target="https://drive.google.com/file/d/1jTrTnBhKoSQXvmdi0nXnZMtVRGH_JPNF/view?usp=sharing" TargetMode="External"/><Relationship Id="rId41" Type="http://schemas.openxmlformats.org/officeDocument/2006/relationships/hyperlink" Target="https://www.gobilda.com/1106-series-square-beam-13-hole-104mm-length/" TargetMode="External"/><Relationship Id="rId44" Type="http://schemas.openxmlformats.org/officeDocument/2006/relationships/hyperlink" Target="https://drive.google.com/file/d/1fptz56D2GBNVqYwWAdK74m7UO4Xq7BUr/view?usp=sharing" TargetMode="External"/><Relationship Id="rId43" Type="http://schemas.openxmlformats.org/officeDocument/2006/relationships/hyperlink" Target="https://www.amazon.com/dp/B01COSN7O6?ref=ppx_yo2ov_dt_b_fed_asin_title" TargetMode="External"/><Relationship Id="rId46" Type="http://schemas.openxmlformats.org/officeDocument/2006/relationships/hyperlink" Target="https://drive.google.com/file/d/1jTrTnBhKoSQXvmdi0nXnZMtVRGH_JPNF/view?usp=sharing" TargetMode="External"/><Relationship Id="rId45" Type="http://schemas.openxmlformats.org/officeDocument/2006/relationships/hyperlink" Target="https://www.amazon.com/MTDELE-HC-SR04-Ultrasonic-Arduino-Mounting/dp/B0D6WBK52V/ref=sr_1_2_sspa?crid=2O5U4GAP6ER8P&amp;dib=eyJ2IjoiMSJ9.E2SIkElJhtFWCJCHL5Q6Yys8UWphh18sr7FUgRDIlqcCyuedPyWbrqpJTYjNpMds9SyGyrxxGSu9bRUioo0H9qyYqn2OXGinXZWJo2BZ-S5mwWIs7NSwcG3YPZHS6lEeSE6MOnweDrOgrNuivB7lkEdWe2mUt6x0XYv9k8mxCkkcMh1UcE_32MxSKXq9_yQb1WK4jhvmInMy5SwFlntCEFiY2VwlELgV7dX_EthoMFk.5VmuMnqg_PVZ-VkaZWrlmY7I4oGzCT-oVWZeOMu59Ic&amp;dib_tag=se&amp;keywords=ultrasonic+sensor&amp;qid=1759414709&amp;sprefix=ultrasonic+sens%2Caps%2C151&amp;sr=8-2-spons&amp;sp_csd=d2lkZ2V0TmFtZT1zcF9hdGY&amp;psc=1" TargetMode="External"/><Relationship Id="rId80" Type="http://schemas.openxmlformats.org/officeDocument/2006/relationships/hyperlink" Target="https://www.amazon.com/dp/B0B779ZYN1?ref_=ppx_printOD_title_dt_b_fed_asin_title_0_0&amp;th=1" TargetMode="External"/><Relationship Id="rId82" Type="http://schemas.openxmlformats.org/officeDocument/2006/relationships/hyperlink" Target="https://www.amazon.com/dp/B08TBZ23C1?ref=ppx_yo2ov_dt_b_fed_asin_title" TargetMode="External"/><Relationship Id="rId81" Type="http://schemas.openxmlformats.org/officeDocument/2006/relationships/hyperlink" Target="https://drive.google.com/file/d/19wHw3kEEvu5nfOIFXMFUzgYmtCgkMwhi/view?usp=sharing" TargetMode="External"/><Relationship Id="rId1" Type="http://schemas.openxmlformats.org/officeDocument/2006/relationships/hyperlink" Target="https://drive.google.com/drive/folders/1bpFnFNl3BLED7mmrxZh7vgY9uvHRqW9e" TargetMode="External"/><Relationship Id="rId2" Type="http://schemas.openxmlformats.org/officeDocument/2006/relationships/hyperlink" Target="https://www.gobilda.com/5203-series-yellow-jacket-planetary-gear-motor-13-7-1-ratio-24mm-length-8mm-rex-shaft-435-rpm-3-3-5v-encoder/" TargetMode="External"/><Relationship Id="rId3" Type="http://schemas.openxmlformats.org/officeDocument/2006/relationships/hyperlink" Target="https://drive.google.com/drive/folders/1bpFnFNl3BLED7mmrxZh7vgY9uvHRqW9e" TargetMode="External"/><Relationship Id="rId4" Type="http://schemas.openxmlformats.org/officeDocument/2006/relationships/hyperlink" Target="https://www.gobilda.com/1309-series-sonic-hub-8mm-rex-bore/" TargetMode="External"/><Relationship Id="rId9" Type="http://schemas.openxmlformats.org/officeDocument/2006/relationships/hyperlink" Target="https://drive.google.com/drive/folders/1bpFnFNl3BLED7mmrxZh7vgY9uvHRqW9e" TargetMode="External"/><Relationship Id="rId48" Type="http://schemas.openxmlformats.org/officeDocument/2006/relationships/hyperlink" Target="https://www.amazon.com/Adiyer-Stainless-1-inch-Folding-Jewelry/dp/B08SJBD3L1?th=1" TargetMode="External"/><Relationship Id="rId47" Type="http://schemas.openxmlformats.org/officeDocument/2006/relationships/hyperlink" Target="https://www.amazon.com/Bocolon-Density-Polyethylene-Plastic-Industry/dp/B0DBHFX4LB/ref=sr_1_1_sspa?crid=3DB0EZDRHAMPE&amp;dib=eyJ2IjoiMSJ9.7rmP2iSG2yEj4I48OTV75PqkD6y8ja0Gd4dmq-mMSYnUZ0YAeMPIkyn2gACTVLFPY39IZj64Dq1eVe1aR5zm20oslYwDFtOB1KxKMDFTh1X-tQpz1rtq4qwienoAtvl83gtFk8B8MoUo4pg6EJxlxB4TLUgqYjNk2a7v3muaYc8z6wqgCQsvc2hqCg-GirjPKJSl1TdVhNb3LpAWy4g6cXf2n3DTD1nYialnFzz9RpE.lAUw60Gjyut-3JATGVuSuISxTzGXJFH12Y6KVHfSvcU&amp;dib_tag=se&amp;keywords=1%2F8%2Binch%2Bhdpe%2Bsheet&amp;qid=1759414957&amp;sprefix=1%2F8%2Binch%2Bhdpe%2Bsheet%2Caps%2C154&amp;sr=8-1-spons&amp;sp_csd=d2lkZ2V0TmFtZT1zcF9hdGY&amp;th=1" TargetMode="External"/><Relationship Id="rId49" Type="http://schemas.openxmlformats.org/officeDocument/2006/relationships/hyperlink" Target="https://www.amazon.com/Bracket-Brackets-30x30mm-Stainless-Reinforce/dp/B07T9NG893?th=1" TargetMode="External"/><Relationship Id="rId5" Type="http://schemas.openxmlformats.org/officeDocument/2006/relationships/hyperlink" Target="https://drive.google.com/drive/folders/1bpFnFNl3BLED7mmrxZh7vgY9uvHRqW9e" TargetMode="External"/><Relationship Id="rId6" Type="http://schemas.openxmlformats.org/officeDocument/2006/relationships/hyperlink" Target="https://www.gobilda.com/hogback-traction-wheel-96mm-diameter-50a-durometer/" TargetMode="External"/><Relationship Id="rId7" Type="http://schemas.openxmlformats.org/officeDocument/2006/relationships/hyperlink" Target="https://drive.google.com/drive/folders/1bpFnFNl3BLED7mmrxZh7vgY9uvHRqW9e" TargetMode="External"/><Relationship Id="rId8" Type="http://schemas.openxmlformats.org/officeDocument/2006/relationships/hyperlink" Target="https://www.gobilda.com/roboclaw-2x15a-motor-controller/" TargetMode="External"/><Relationship Id="rId73" Type="http://schemas.openxmlformats.org/officeDocument/2006/relationships/hyperlink" Target="https://drive.google.com/file/d/1jTrTnBhKoSQXvmdi0nXnZMtVRGH_JPNF/view?usp=sharing" TargetMode="External"/><Relationship Id="rId72" Type="http://schemas.openxmlformats.org/officeDocument/2006/relationships/hyperlink" Target="https://www.amazon.com/gp/product/B085F2LWW6/ref=sw_img_1?smid=A66IX15EHOXVO&amp;psc=1" TargetMode="External"/><Relationship Id="rId31" Type="http://schemas.openxmlformats.org/officeDocument/2006/relationships/hyperlink" Target="https://www.adafruit.com/product/2472?srsltid=AfmBOoru6QF8aEFryTHnUaupkJaWuSUFJ5eSN-nVNmhKJTNAqOB8Qv5E" TargetMode="External"/><Relationship Id="rId75" Type="http://schemas.openxmlformats.org/officeDocument/2006/relationships/hyperlink" Target="https://drive.google.com/file/d/19wHw3kEEvu5nfOIFXMFUzgYmtCgkMwhi/view?usp=sharing" TargetMode="External"/><Relationship Id="rId30" Type="http://schemas.openxmlformats.org/officeDocument/2006/relationships/hyperlink" Target="https://www.amazon.com/gp/product/B004GETLY2/ref=ox_sc_act_title_4?smid=A1OHX1ZYWFEJ99&amp;psc=1" TargetMode="External"/><Relationship Id="rId74" Type="http://schemas.openxmlformats.org/officeDocument/2006/relationships/hyperlink" Target="https://www.amazon.com/gp/product/B0FBGMF4L3/ref=ewc_pr_img_2?smid=A11DNW2T2L65TN&amp;th=1" TargetMode="External"/><Relationship Id="rId33" Type="http://schemas.openxmlformats.org/officeDocument/2006/relationships/hyperlink" Target="https://www.gobilda.com/1120-series-u-channel-9-hole-240mm-length/" TargetMode="External"/><Relationship Id="rId77" Type="http://schemas.openxmlformats.org/officeDocument/2006/relationships/hyperlink" Target="https://drive.google.com/file/d/19wHw3kEEvu5nfOIFXMFUzgYmtCgkMwhi/view?usp=sharing" TargetMode="External"/><Relationship Id="rId32" Type="http://schemas.openxmlformats.org/officeDocument/2006/relationships/hyperlink" Target="https://drive.google.com/drive/folders/1bpFnFNl3BLED7mmrxZh7vgY9uvHRqW9e" TargetMode="External"/><Relationship Id="rId76" Type="http://schemas.openxmlformats.org/officeDocument/2006/relationships/hyperlink" Target="https://www.amazon.com/dp/B0DRZWN3BN?ref=ppx_yo2ov_dt_b_fed_asin_title" TargetMode="External"/><Relationship Id="rId35" Type="http://schemas.openxmlformats.org/officeDocument/2006/relationships/hyperlink" Target="https://www.gobilda.com/m4-x-0-7mm-zinc-plated-socket-head-screw-8mm-length/" TargetMode="External"/><Relationship Id="rId79" Type="http://schemas.openxmlformats.org/officeDocument/2006/relationships/hyperlink" Target="https://drive.google.com/file/d/1mN0hiEHj8ihfRJnBGriWtGi6YfIk0Z63/view?usp=sharing" TargetMode="External"/><Relationship Id="rId34" Type="http://schemas.openxmlformats.org/officeDocument/2006/relationships/hyperlink" Target="https://drive.google.com/drive/folders/1bpFnFNl3BLED7mmrxZh7vgY9uvHRqW9e" TargetMode="External"/><Relationship Id="rId78" Type="http://schemas.openxmlformats.org/officeDocument/2006/relationships/hyperlink" Target="https://www.amazon.com/dp/B0DM5Q14P8?ref=ppx_yo2ov_dt_b_fed_asin_title" TargetMode="External"/><Relationship Id="rId71" Type="http://schemas.openxmlformats.org/officeDocument/2006/relationships/hyperlink" Target="https://drive.google.com/file/d/1jTrTnBhKoSQXvmdi0nXnZMtVRGH_JPNF/view?usp=sharing" TargetMode="External"/><Relationship Id="rId70" Type="http://schemas.openxmlformats.org/officeDocument/2006/relationships/hyperlink" Target="https://www.amazon.com/Tosiicop-XT30-Connector-Plug-Cable/dp/B0FDGN2M8F/ref=sr_1_2?crid=1SLDDI5PQ9MX1&amp;dib=eyJ2IjoiMSJ9.MC3QHOBWIJFZL7s7I23l8Eyu4Is9IbVcEa4CD_D2aGNausFvlyg-_61lnjEpcQ8uZgcV6vIn-abXlN-YeNII__9PKOGrzz8VXS5AVR8SJ4BcebGbs2AF-BUeVLS07kGRTHt9TM3WBtA3LIaQ04W_kBMRmxoYGW4Gf9m4_kS-9akZQgx3BvIP8U_iW3SGqWFb3mLoFiUzcQ5tJ_WAqBOKSGMMVkceSr8v81fprs83_8Du4VLyX5WsyRCS6qkch3jvbgY7rE2xR953M0TfxlYNfIKBHdlRkelsAqWV5eaJOqM.khXjgUimka0tH_o4DcDdYgpnaqdwTpm8A17coRRj5Kg&amp;dib_tag=se&amp;keywords=XT30U-M%2Bwires&amp;qid=1760021478&amp;sprefix=xt30u-m%2Bwires%2Caps%2C119&amp;sr=8-2&amp;th=1" TargetMode="External"/><Relationship Id="rId37" Type="http://schemas.openxmlformats.org/officeDocument/2006/relationships/hyperlink" Target="https://www.gobilda.com/m4-x-0-7mm-nylock-nut/?sku=2812-0004-0007" TargetMode="External"/><Relationship Id="rId36" Type="http://schemas.openxmlformats.org/officeDocument/2006/relationships/hyperlink" Target="https://drive.google.com/drive/folders/1bpFnFNl3BLED7mmrxZh7vgY9uvHRqW9e" TargetMode="External"/><Relationship Id="rId39" Type="http://schemas.openxmlformats.org/officeDocument/2006/relationships/hyperlink" Target="https://www.gobilda.com/1123-series-pattern-plate-1-x-7-hole-43-x-192mm/" TargetMode="External"/><Relationship Id="rId38" Type="http://schemas.openxmlformats.org/officeDocument/2006/relationships/hyperlink" Target="https://drive.google.com/drive/folders/1bpFnFNl3BLED7mmrxZh7vgY9uvHRqW9e" TargetMode="External"/><Relationship Id="rId62" Type="http://schemas.openxmlformats.org/officeDocument/2006/relationships/hyperlink" Target="https://drive.google.com/file/d/1sa2pXICpRUstmJmgU6Y9xq3Z1pVdOgd1/view?usp=sharing" TargetMode="External"/><Relationship Id="rId61" Type="http://schemas.openxmlformats.org/officeDocument/2006/relationships/hyperlink" Target="https://www.mcmaster.com/2662n53/" TargetMode="External"/><Relationship Id="rId20" Type="http://schemas.openxmlformats.org/officeDocument/2006/relationships/hyperlink" Target="https://drive.google.com/drive/folders/1bpFnFNl3BLED7mmrxZh7vgY9uvHRqW9e" TargetMode="External"/><Relationship Id="rId64" Type="http://schemas.openxmlformats.org/officeDocument/2006/relationships/hyperlink" Target="https://drive.google.com/file/d/1jTrTnBhKoSQXvmdi0nXnZMtVRGH_JPNF/view?usp=sharing" TargetMode="External"/><Relationship Id="rId63" Type="http://schemas.openxmlformats.org/officeDocument/2006/relationships/hyperlink" Target="https://www.mcmaster.com/8712K151-8712K152/" TargetMode="External"/><Relationship Id="rId22" Type="http://schemas.openxmlformats.org/officeDocument/2006/relationships/hyperlink" Target="https://drive.google.com/file/d/1bfNTbY0k-69QRZK7zLRSVl-RtCeFQFII/view?usp=sharing" TargetMode="External"/><Relationship Id="rId66" Type="http://schemas.openxmlformats.org/officeDocument/2006/relationships/hyperlink" Target="https://www.amazon.com/gp/product/B01GH32AQU/ref=ox_sc_act_title_2?smid=A2177J1RKY6IS3&amp;psc=1" TargetMode="External"/><Relationship Id="rId21" Type="http://schemas.openxmlformats.org/officeDocument/2006/relationships/hyperlink" Target="https://www.gobilda.com/1611-series-flanged-ball-bearing-6mm-id-x-14mm-od-5mm-thickness-2-pack/" TargetMode="External"/><Relationship Id="rId65" Type="http://schemas.openxmlformats.org/officeDocument/2006/relationships/hyperlink" Target="https://www.amazon.com/12x12x-02-Plexiglass-Flexible-Lightweight-Projects/dp/B0B23S2FZQ/ref=sr_1_6?crid=2QI35UOM8BJSP&amp;dib=eyJ2IjoiMSJ9.FAGgkop97OhZ8iYf3SMZoPSknPl5IQRqOrBdD-r8CQoFc2gZJiu3xhxXcMe3EAEAfNMrGii90WXJZMRyIIQbkVSm9Zpv1vEi3UnG6Eqk4uryikXAmovlxl4l680oEW5sbYBh5GEV5AzqFdXCpafuGfLXrKZLVny9YTe5_OIaV0n4a9dQBKGNgiODYQnZjpa9QYbFU37RfIk3NaJQoFotyHCpDvbIGMT7YPcMKg6qSC64p8r4vnub_FubNTyORXrnJ4bunN5e-HUVLOnuTDRlJ7dpmG9Ho6pQ6_Z-OQcdbBU.VXPNPvMQ4EBPCMOjbHQq9aKunM259aMm5pRZ1lymORA&amp;dib_tag=se&amp;keywords=flexible%2Bclear%2Bplastic%2Bsheet&amp;qid=1759413860&amp;s=industrial&amp;sprefix=flexible%2B%2Cindustrial%2C108&amp;sr=1-6&amp;th=1" TargetMode="External"/><Relationship Id="rId24" Type="http://schemas.openxmlformats.org/officeDocument/2006/relationships/hyperlink" Target="https://drive.google.com/drive/folders/1bpFnFNl3BLED7mmrxZh7vgY9uvHRqW9e" TargetMode="External"/><Relationship Id="rId68" Type="http://schemas.openxmlformats.org/officeDocument/2006/relationships/hyperlink" Target="https://www.digikey.com/en/products/detail/omron-electronics-inc-emc-div/B3F-1020/44059?gclsrc=aw.ds&amp;gad_source=1&amp;gad_campaignid=20509826117&amp;gbraid=0AAAAADrbLlgPahjgQjTiZA4NtmRxex-fT&amp;gclid=Cj0KCQjwxL7GBhDXARIsAGOcmINhvAJ8CTcOZCDOgN0-hotT2-AahMXe-lMgYzgAD1VIPJNkVBgZdqYaAuCqEALw_wcB" TargetMode="External"/><Relationship Id="rId23" Type="http://schemas.openxmlformats.org/officeDocument/2006/relationships/hyperlink" Target="https://www.gobilda.com/1611-series-flanged-ball-bearing-8mm-id-x-14mm-od-5mm-thickness-2-pack/" TargetMode="External"/><Relationship Id="rId67" Type="http://schemas.openxmlformats.org/officeDocument/2006/relationships/hyperlink" Target="https://www.digikey.com/en/products/detail/kyocera-avx/ND03P00333K--/1452053?gad_source=1&amp;gad_campaignid=20682862038&amp;gbraid=0AAAAADrbLlihpozHczm7iSeXBJ4Rpn0DV&amp;gclid=Cj0KCQjwxL7GBhDXARIsAGOcmIMkgYX8SvMh8Ca3dpat8Z4KVMCYqJJgqFAxlJ7ChvtwJ06sXMiWvT0aAoIHEALw_wcB&amp;gclsrc=aw.ds" TargetMode="External"/><Relationship Id="rId60" Type="http://schemas.openxmlformats.org/officeDocument/2006/relationships/hyperlink" Target="https://drive.google.com/file/d/1sa2pXICpRUstmJmgU6Y9xq3Z1pVdOgd1/view?usp=sharing" TargetMode="External"/><Relationship Id="rId26" Type="http://schemas.openxmlformats.org/officeDocument/2006/relationships/hyperlink" Target="https://drive.google.com/drive/folders/1bpFnFNl3BLED7mmrxZh7vgY9uvHRqW9e" TargetMode="External"/><Relationship Id="rId25" Type="http://schemas.openxmlformats.org/officeDocument/2006/relationships/hyperlink" Target="https://www.gobilda.com/1201-series-quad-block-pattern-mount-43-2/" TargetMode="External"/><Relationship Id="rId69" Type="http://schemas.openxmlformats.org/officeDocument/2006/relationships/hyperlink" Target="https://drive.google.com/file/d/1fptz56D2GBNVqYwWAdK74m7UO4Xq7BUr/view?usp=sharing" TargetMode="External"/><Relationship Id="rId28" Type="http://schemas.openxmlformats.org/officeDocument/2006/relationships/hyperlink" Target="https://drive.google.com/file/d/1fptz56D2GBNVqYwWAdK74m7UO4Xq7BUr/view?usp=sharing" TargetMode="External"/><Relationship Id="rId27" Type="http://schemas.openxmlformats.org/officeDocument/2006/relationships/hyperlink" Target="https://www.gobilda.com/shouldered-8mm-rex-hub-shaft-20mm-hub-offset/" TargetMode="External"/><Relationship Id="rId29" Type="http://schemas.openxmlformats.org/officeDocument/2006/relationships/hyperlink" Target="https://www.amazon.com/dp/B0CB1FW5FC/ref=sspa_dk_detail_2?pd_rd_i=B0CB1FW5FC&amp;pd_rd_w=yo3l8&amp;content-id=amzn1.sym.bbb3fb5e-28ad-4062-a3ba-1f7b9f2e4371&amp;pf_rd_p=bbb3fb5e-28ad-4062-a3ba-1f7b9f2e4371&amp;pf_rd_r=881CYYGDW8VH1GFZ7ACS&amp;pd_rd_wg=tVulY&amp;pd_rd_r=80ab3d2b-1b78-405e-b51f-e282d9d62f99&amp;sp_csd=d2lkZ2V0TmFtZT1zcF9kZXRhaWxfdGhlbWF0aWM&amp;th=1" TargetMode="External"/><Relationship Id="rId51" Type="http://schemas.openxmlformats.org/officeDocument/2006/relationships/hyperlink" Target="http://amazon.com/gp/product/B0D21NHYX8/ref=ox_sc_act_title_1?smid=A2G79MFFPKHN4J&amp;psc=1" TargetMode="External"/><Relationship Id="rId50" Type="http://schemas.openxmlformats.org/officeDocument/2006/relationships/hyperlink" Target="https://www.homedepot.com/p/Everbilt-20-Pack-1-in-Zinc-Plated-Corner-Brace-Value-Pack-24487/327600843" TargetMode="External"/><Relationship Id="rId53" Type="http://schemas.openxmlformats.org/officeDocument/2006/relationships/hyperlink" Target="https://www.amazon.com/gp/product/B0BJDKZWDF/ref=sw_img_1?smid=A34FLGFUMBB69H&amp;th=1" TargetMode="External"/><Relationship Id="rId52" Type="http://schemas.openxmlformats.org/officeDocument/2006/relationships/hyperlink" Target="https://www.amazon.com/gp/product/B0CZ768K5Y/ref=ox_sc_act_title_2?smid=A128CO7G80NO6D&amp;psc=1" TargetMode="External"/><Relationship Id="rId11" Type="http://schemas.openxmlformats.org/officeDocument/2006/relationships/hyperlink" Target="https://www.gobilda.com/96mm-omni-wheel-14mm-bore-50a-durometer/" TargetMode="External"/><Relationship Id="rId55" Type="http://schemas.openxmlformats.org/officeDocument/2006/relationships/hyperlink" Target="https://www.amazon.com/gp/product/B0DHZYM1JQ/ref=ox_sc_act_title_3?smid=A1FIU1KHKMEYGE&amp;psc=1" TargetMode="External"/><Relationship Id="rId10" Type="http://schemas.openxmlformats.org/officeDocument/2006/relationships/hyperlink" Target="https://www.gobilda.com/2802-series-zinc-plated-steel-button-head-screw-m4-x-0-7mm-12mm-length-25-pack/" TargetMode="External"/><Relationship Id="rId54" Type="http://schemas.openxmlformats.org/officeDocument/2006/relationships/hyperlink" Target="https://www.gobilda.com/shouldered-8mm-rex-hub-shaft-20mm-hub-offset/" TargetMode="External"/><Relationship Id="rId13" Type="http://schemas.openxmlformats.org/officeDocument/2006/relationships/hyperlink" Target="https://www.amazon.com/Raspberry-Pi-Model-2GB/dp/B09TTNPB4J/ref=sr_1_7?crid=252TN1F58JG7S&amp;dib=eyJ2IjoiMSJ9.HavuMzOx0pibLLpdWCmY0-n0KHJjeMikjbp58OMNJLHzsHsnrnftGjcbTUet3sVDtWfqXrWNT_k0tecU9w3FKXH2ovqggzRmNrAxzCSXAN4MIW-dVt4y_lBv65_4xWlpOFynxAc1vvqZbU0O4POhztxzEWIJLutZkLR7e5QKBxK0QEUaxvljbCqDhgi4j4SycpAX2ISoYqWR0d-ktpwasFRjYiY87Pt-06ZXpK3bbcK7ebo3Efmmhp7IM0G4TjF_fehxUl75SkZ0Lccy942LBsVlldwXyJJTAXj7OyNd4-Q.tSJdz6wDIH7He3vMiH1m9lPeU17o42S3eYchCjiuIN0&amp;dib_tag=se&amp;keywords=raspberry+pi+4b&amp;qid=1758490404&amp;s=electronics&amp;sprefix=raspberry+pi+4b%2Celectronics%2C87&amp;sr=1-7" TargetMode="External"/><Relationship Id="rId57" Type="http://schemas.openxmlformats.org/officeDocument/2006/relationships/hyperlink" Target="https://www.amazon.com/Wishiot-TD-8125MG-Digital-Waterproof-500%CE%BCs-2500%CE%BCs/dp/B08JCT4P3B/ref=sr_1_7?crid=104MP8NIGG020&amp;dib=eyJ2IjoiMSJ9.WGOWU090m9NMM7KJhbswWakyiPWOB2ByUJR6xtXvMldg0_0LxzApB8WvAv04n6UFdlpXdkZOjmHcQ73paadbI7dGz7V10BagoINvvRr5mqqH2KYLf8NBtMVqAaikuNOLtHgKPOJG6itifNBoOTPfl_JxgTkNL0aIuMNFn7X7JYmEwJJYtbA_2XOvbnJk3pJA2ORi3ThBDdiht0nKtAxEtmKbM9KsRj45S--cTrIL6LUficTrl7Ln8ecEFmvBMmchcjNVykeYi8PN7_CpqBdzTSqNI5-OA0YPJqcbr5gI-IU.J3gBL0Q82hOM5CsjsmQ_RKlZLBF8d2eEdXT072-uMhg&amp;dib_tag=se&amp;keywords=PWM+servo+360+degrees&amp;qid=1759416720&amp;s=toys-and-games&amp;sprefix=pwm+servo+360+degrees%2Ctoys-and-games%2C85&amp;sr=1-7" TargetMode="External"/><Relationship Id="rId12" Type="http://schemas.openxmlformats.org/officeDocument/2006/relationships/hyperlink" Target="https://drive.google.com/file/d/1jTrTnBhKoSQXvmdi0nXnZMtVRGH_JPNF/view?usp=sharing" TargetMode="External"/><Relationship Id="rId56" Type="http://schemas.openxmlformats.org/officeDocument/2006/relationships/hyperlink" Target="https://drive.google.com/file/d/1jTrTnBhKoSQXvmdi0nXnZMtVRGH_JPNF/view?usp=sharing" TargetMode="External"/><Relationship Id="rId15" Type="http://schemas.openxmlformats.org/officeDocument/2006/relationships/hyperlink" Target="https://www.gobilda.com/12v-nimh-nested-battery-3000mah-mh-fc-xt30-connector/" TargetMode="External"/><Relationship Id="rId59" Type="http://schemas.openxmlformats.org/officeDocument/2006/relationships/hyperlink" Target="https://www.gobilda.com/2305-series-brass-mod-0-8-servo-gear-25-tooth-spline-20-tooth/" TargetMode="External"/><Relationship Id="rId14" Type="http://schemas.openxmlformats.org/officeDocument/2006/relationships/hyperlink" Target="https://drive.google.com/file/d/1bfNTbY0k-69QRZK7zLRSVl-RtCeFQFII/view?usp=sharing" TargetMode="External"/><Relationship Id="rId58" Type="http://schemas.openxmlformats.org/officeDocument/2006/relationships/hyperlink" Target="https://drive.google.com/drive/folders/1bpFnFNl3BLED7mmrxZh7vgY9uvHRqW9e" TargetMode="External"/><Relationship Id="rId17" Type="http://schemas.openxmlformats.org/officeDocument/2006/relationships/hyperlink" Target="https://www.amazon.com/SanDisk-Ultra-microSDHC-Memory-Adapter/dp/B0B7NXBM6P/?th=1" TargetMode="External"/><Relationship Id="rId16" Type="http://schemas.openxmlformats.org/officeDocument/2006/relationships/hyperlink" Target="https://drive.google.com/file/d/1jTrTnBhKoSQXvmdi0nXnZMtVRGH_JPNF/view?usp=sharing" TargetMode="External"/><Relationship Id="rId19" Type="http://schemas.openxmlformats.org/officeDocument/2006/relationships/hyperlink" Target="https://www.gobilda.com/encoder-breakout-cable-4-pos-jst-xh-mh-fc-to-4-x-1-pos-tjc8-mh-fc-300mm-length/?srsltid=AfmBOor2AVkUs5Vds3XKAik0pb3nAzGfoDlo60xQxr78PchH8gUdjScO" TargetMode="External"/><Relationship Id="rId18" Type="http://schemas.openxmlformats.org/officeDocument/2006/relationships/hyperlink" Target="https://drive.google.com/file/d/1bfNTbY0k-69QRZK7zLRSVl-RtCeFQFII/view?usp=sharing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9wHw3kEEvu5nfOIFXMFUzgYmtCgkMwhi/view?usp=sharing" TargetMode="External"/><Relationship Id="rId41" Type="http://schemas.openxmlformats.org/officeDocument/2006/relationships/drawing" Target="../drawings/drawing2.xml"/><Relationship Id="rId1" Type="http://schemas.openxmlformats.org/officeDocument/2006/relationships/hyperlink" Target="https://drive.google.com/drive/folders/1bpFnFNl3BLED7mmrxZh7vgY9uvHRqW9e" TargetMode="External"/><Relationship Id="rId2" Type="http://schemas.openxmlformats.org/officeDocument/2006/relationships/hyperlink" Target="https://drive.google.com/drive/folders/1bpFnFNl3BLED7mmrxZh7vgY9uvHRqW9e" TargetMode="External"/><Relationship Id="rId3" Type="http://schemas.openxmlformats.org/officeDocument/2006/relationships/hyperlink" Target="https://drive.google.com/drive/folders/1bpFnFNl3BLED7mmrxZh7vgY9uvHRqW9e" TargetMode="External"/><Relationship Id="rId4" Type="http://schemas.openxmlformats.org/officeDocument/2006/relationships/hyperlink" Target="https://drive.google.com/drive/folders/1bpFnFNl3BLED7mmrxZh7vgY9uvHRqW9e" TargetMode="External"/><Relationship Id="rId9" Type="http://schemas.openxmlformats.org/officeDocument/2006/relationships/hyperlink" Target="https://drive.google.com/file/d/1bfNTbY0k-69QRZK7zLRSVl-RtCeFQFII/view?usp=sharing" TargetMode="External"/><Relationship Id="rId5" Type="http://schemas.openxmlformats.org/officeDocument/2006/relationships/hyperlink" Target="https://drive.google.com/drive/folders/1bpFnFNl3BLED7mmrxZh7vgY9uvHRqW9e" TargetMode="External"/><Relationship Id="rId6" Type="http://schemas.openxmlformats.org/officeDocument/2006/relationships/hyperlink" Target="https://drive.google.com/file/d/1jTrTnBhKoSQXvmdi0nXnZMtVRGH_JPNF/view?usp=sharing" TargetMode="External"/><Relationship Id="rId7" Type="http://schemas.openxmlformats.org/officeDocument/2006/relationships/hyperlink" Target="https://drive.google.com/file/d/1bfNTbY0k-69QRZK7zLRSVl-RtCeFQFII/view?usp=sharing" TargetMode="External"/><Relationship Id="rId8" Type="http://schemas.openxmlformats.org/officeDocument/2006/relationships/hyperlink" Target="https://drive.google.com/file/d/1jTrTnBhKoSQXvmdi0nXnZMtVRGH_JPNF/view?usp=sharing" TargetMode="External"/><Relationship Id="rId31" Type="http://schemas.openxmlformats.org/officeDocument/2006/relationships/hyperlink" Target="https://drive.google.com/file/d/1sa2pXICpRUstmJmgU6Y9xq3Z1pVdOgd1/view?usp=sharing" TargetMode="External"/><Relationship Id="rId30" Type="http://schemas.openxmlformats.org/officeDocument/2006/relationships/hyperlink" Target="https://drive.google.com/file/d/1sa2pXICpRUstmJmgU6Y9xq3Z1pVdOgd1/view?usp=sharing" TargetMode="External"/><Relationship Id="rId33" Type="http://schemas.openxmlformats.org/officeDocument/2006/relationships/hyperlink" Target="https://www.amazon.com/gp/product/B01GH32AQU/ref=ox_sc_act_title_2?smid=A2177J1RKY6IS3&amp;psc=1" TargetMode="External"/><Relationship Id="rId32" Type="http://schemas.openxmlformats.org/officeDocument/2006/relationships/hyperlink" Target="https://drive.google.com/file/d/1jTrTnBhKoSQXvmdi0nXnZMtVRGH_JPNF/view?usp=sharing" TargetMode="External"/><Relationship Id="rId35" Type="http://schemas.openxmlformats.org/officeDocument/2006/relationships/hyperlink" Target="https://drive.google.com/file/d/1jTrTnBhKoSQXvmdi0nXnZMtVRGH_JPNF/view?usp=sharing" TargetMode="External"/><Relationship Id="rId34" Type="http://schemas.openxmlformats.org/officeDocument/2006/relationships/hyperlink" Target="https://drive.google.com/file/d/1fptz56D2GBNVqYwWAdK74m7UO4Xq7BUr/view?usp=sharing" TargetMode="External"/><Relationship Id="rId37" Type="http://schemas.openxmlformats.org/officeDocument/2006/relationships/hyperlink" Target="https://drive.google.com/file/d/19wHw3kEEvu5nfOIFXMFUzgYmtCgkMwhi/view?usp=sharing" TargetMode="External"/><Relationship Id="rId36" Type="http://schemas.openxmlformats.org/officeDocument/2006/relationships/hyperlink" Target="https://drive.google.com/file/d/1jTrTnBhKoSQXvmdi0nXnZMtVRGH_JPNF/view?usp=sharing" TargetMode="External"/><Relationship Id="rId39" Type="http://schemas.openxmlformats.org/officeDocument/2006/relationships/hyperlink" Target="https://drive.google.com/file/d/1mN0hiEHj8ihfRJnBGriWtGi6YfIk0Z63/view?usp=sharing" TargetMode="External"/><Relationship Id="rId38" Type="http://schemas.openxmlformats.org/officeDocument/2006/relationships/hyperlink" Target="https://drive.google.com/file/d/19wHw3kEEvu5nfOIFXMFUzgYmtCgkMwhi/view?usp=sharing" TargetMode="External"/><Relationship Id="rId20" Type="http://schemas.openxmlformats.org/officeDocument/2006/relationships/hyperlink" Target="https://drive.google.com/drive/folders/1bpFnFNl3BLED7mmrxZh7vgY9uvHRqW9e" TargetMode="External"/><Relationship Id="rId22" Type="http://schemas.openxmlformats.org/officeDocument/2006/relationships/hyperlink" Target="https://drive.google.com/file/d/1fptz56D2GBNVqYwWAdK74m7UO4Xq7BUr/view?usp=sharing" TargetMode="External"/><Relationship Id="rId21" Type="http://schemas.openxmlformats.org/officeDocument/2006/relationships/hyperlink" Target="https://drive.google.com/file/d/1jTrTnBhKoSQXvmdi0nXnZMtVRGH_JPNF/view?usp=sharing" TargetMode="External"/><Relationship Id="rId24" Type="http://schemas.openxmlformats.org/officeDocument/2006/relationships/hyperlink" Target="http://amazon.com/gp/product/B0D21NHYX8/ref=ox_sc_act_title_1?smid=A2G79MFFPKHN4J&amp;psc=1" TargetMode="External"/><Relationship Id="rId23" Type="http://schemas.openxmlformats.org/officeDocument/2006/relationships/hyperlink" Target="https://drive.google.com/file/d/1jTrTnBhKoSQXvmdi0nXnZMtVRGH_JPNF/view?usp=sharing" TargetMode="External"/><Relationship Id="rId26" Type="http://schemas.openxmlformats.org/officeDocument/2006/relationships/hyperlink" Target="https://www.amazon.com/gp/product/B0BJDKZWDF/ref=sw_img_1?smid=A34FLGFUMBB69H&amp;th=1" TargetMode="External"/><Relationship Id="rId25" Type="http://schemas.openxmlformats.org/officeDocument/2006/relationships/hyperlink" Target="https://www.amazon.com/gp/product/B0CZ768K5Y/ref=ox_sc_act_title_2?smid=A128CO7G80NO6D&amp;psc=1" TargetMode="External"/><Relationship Id="rId28" Type="http://schemas.openxmlformats.org/officeDocument/2006/relationships/hyperlink" Target="https://drive.google.com/file/d/1jTrTnBhKoSQXvmdi0nXnZMtVRGH_JPNF/view?usp=sharing" TargetMode="External"/><Relationship Id="rId27" Type="http://schemas.openxmlformats.org/officeDocument/2006/relationships/hyperlink" Target="https://www.amazon.com/gp/product/B0DHZYM1JQ/ref=ox_sc_act_title_3?smid=A1FIU1KHKMEYGE&amp;psc=1" TargetMode="External"/><Relationship Id="rId29" Type="http://schemas.openxmlformats.org/officeDocument/2006/relationships/hyperlink" Target="https://drive.google.com/drive/folders/1bpFnFNl3BLED7mmrxZh7vgY9uvHRqW9e" TargetMode="External"/><Relationship Id="rId11" Type="http://schemas.openxmlformats.org/officeDocument/2006/relationships/hyperlink" Target="https://drive.google.com/file/d/1bfNTbY0k-69QRZK7zLRSVl-RtCeFQFII/view?usp=sharing" TargetMode="External"/><Relationship Id="rId10" Type="http://schemas.openxmlformats.org/officeDocument/2006/relationships/hyperlink" Target="https://drive.google.com/drive/folders/1bpFnFNl3BLED7mmrxZh7vgY9uvHRqW9e" TargetMode="External"/><Relationship Id="rId13" Type="http://schemas.openxmlformats.org/officeDocument/2006/relationships/hyperlink" Target="https://drive.google.com/drive/folders/1bpFnFNl3BLED7mmrxZh7vgY9uvHRqW9e" TargetMode="External"/><Relationship Id="rId12" Type="http://schemas.openxmlformats.org/officeDocument/2006/relationships/hyperlink" Target="https://drive.google.com/drive/folders/1bpFnFNl3BLED7mmrxZh7vgY9uvHRqW9e" TargetMode="External"/><Relationship Id="rId15" Type="http://schemas.openxmlformats.org/officeDocument/2006/relationships/hyperlink" Target="https://www.amazon.com/gp/product/B004GETLY2/ref=ox_sc_act_title_4?smid=A1OHX1ZYWFEJ99&amp;psc=1" TargetMode="External"/><Relationship Id="rId14" Type="http://schemas.openxmlformats.org/officeDocument/2006/relationships/hyperlink" Target="https://drive.google.com/file/d/1fptz56D2GBNVqYwWAdK74m7UO4Xq7BUr/view?usp=sharing" TargetMode="External"/><Relationship Id="rId17" Type="http://schemas.openxmlformats.org/officeDocument/2006/relationships/hyperlink" Target="https://drive.google.com/drive/folders/1bpFnFNl3BLED7mmrxZh7vgY9uvHRqW9e" TargetMode="External"/><Relationship Id="rId16" Type="http://schemas.openxmlformats.org/officeDocument/2006/relationships/hyperlink" Target="https://drive.google.com/drive/folders/1bpFnFNl3BLED7mmrxZh7vgY9uvHRqW9e" TargetMode="External"/><Relationship Id="rId19" Type="http://schemas.openxmlformats.org/officeDocument/2006/relationships/hyperlink" Target="https://drive.google.com/drive/folders/1bpFnFNl3BLED7mmrxZh7vgY9uvHRqW9e" TargetMode="External"/><Relationship Id="rId18" Type="http://schemas.openxmlformats.org/officeDocument/2006/relationships/hyperlink" Target="https://drive.google.com/drive/folders/1bpFnFNl3BLED7mmrxZh7vgY9uvHRqW9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bilda.com/5203-series-yellow-jacket-planetary-gear-motor-13-7-1-ratio-24mm-length-8mm-rex-shaft-435-rpm-3-3-5v-encoder/" TargetMode="External"/><Relationship Id="rId2" Type="http://schemas.openxmlformats.org/officeDocument/2006/relationships/hyperlink" Target="https://www.gobilda.com/1309-series-sonic-hub-8mm-rex-bore/" TargetMode="External"/><Relationship Id="rId3" Type="http://schemas.openxmlformats.org/officeDocument/2006/relationships/hyperlink" Target="https://www.gobilda.com/hogback-traction-wheel-96mm-diameter-50a-durometer/" TargetMode="External"/><Relationship Id="rId4" Type="http://schemas.openxmlformats.org/officeDocument/2006/relationships/hyperlink" Target="https://www.gobilda.com/roboclaw-2x7a-motor-controller/" TargetMode="External"/><Relationship Id="rId9" Type="http://schemas.openxmlformats.org/officeDocument/2006/relationships/hyperlink" Target="https://greatplainsindustries.com/products/15-amp-inline-blade-fuse-assembly?currency=USD&amp;variant=45309174612203&amp;utm_source=google&amp;utm_medium=cpc&amp;utm_campaign=Google%20Shopping&amp;stkn=a58b0943c3a3&amp;srsltid=AfmBOoqkjYlN-B0OjoPkA-O_3sAOCE-_kUCQOOv8S0REYq6af7ZgD4CSnPc" TargetMode="External"/><Relationship Id="rId5" Type="http://schemas.openxmlformats.org/officeDocument/2006/relationships/hyperlink" Target="https://www.gobilda.com/2802-series-zinc-plated-steel-button-head-screw-m4-x-0-7mm-12mm-length-25-pack/" TargetMode="External"/><Relationship Id="rId6" Type="http://schemas.openxmlformats.org/officeDocument/2006/relationships/hyperlink" Target="https://www.gobilda.com/96mm-omni-wheel-14mm-bore-50a-durometer/" TargetMode="External"/><Relationship Id="rId7" Type="http://schemas.openxmlformats.org/officeDocument/2006/relationships/hyperlink" Target="https://www.amazon.com/Raspberry-Pi-Model-2GB/dp/B09TTNPB4J/ref=sr_1_7?crid=252TN1F58JG7S&amp;dib=eyJ2IjoiMSJ9.HavuMzOx0pibLLpdWCmY0-n0KHJjeMikjbp58OMNJLHzsHsnrnftGjcbTUet3sVDtWfqXrWNT_k0tecU9w3FKXH2ovqggzRmNrAxzCSXAN4MIW-dVt4y_lBv65_4xWlpOFynxAc1vvqZbU0O4POhztxzEWIJLutZkLR7e5QKBxK0QEUaxvljbCqDhgi4j4SycpAX2ISoYqWR0d-ktpwasFRjYiY87Pt-06ZXpK3bbcK7ebo3Efmmhp7IM0G4TjF_fehxUl75SkZ0Lccy942LBsVlldwXyJJTAXj7OyNd4-Q.tSJdz6wDIH7He3vMiH1m9lPeU17o42S3eYchCjiuIN0&amp;dib_tag=se&amp;keywords=raspberry+pi+4b&amp;qid=1758490404&amp;s=electronics&amp;sprefix=raspberry+pi+4b%2Celectronics%2C87&amp;sr=1-7" TargetMode="External"/><Relationship Id="rId8" Type="http://schemas.openxmlformats.org/officeDocument/2006/relationships/hyperlink" Target="https://www.horizonhobby.com/product/SPMX223S30.html?utm_source=google&amp;utm_medium=cpc&amp;utm_campaign=horizonhobby_shopping-catch-all_01_HIGH_NONBRAND&amp;utm_campaignid=21803082141&amp;adgroupid=177403203788&amp;utm_content=717153848083&amp;utm_term=::matchtype_&amp;utm_campaign=horizonhobby_shopping-catch-all_01_HIGH_NONBRAND&amp;utm_device=c&amp;gad_source=1&amp;gad_campaignid=21803082141&amp;gbraid=0AAAAAD_XYFnlHiL7AuJt09DydfHVU8a5E&amp;gclid=Cj0KCQjwxL7GBhDXARIsAGOcmIPf-NNGAqYpJERcda3UWFCJz1_7U0zTVIBhbQ2cUqwIIpjli_aaAZYaAhohEALw_wcB" TargetMode="External"/><Relationship Id="rId31" Type="http://schemas.openxmlformats.org/officeDocument/2006/relationships/hyperlink" Target="https://www.amazon.com/dp/B08SL9X2YC/ref=sspa_dk_detail_3?pd_rd_i=B08SL9X2YC&amp;pd_rd_w=SXj0A&amp;content-id=amzn1.sym.f2f1cf8f-cab4-44dc-82ba-0ca811fb90cc&amp;pf_rd_p=f2f1cf8f-cab4-44dc-82ba-0ca811fb90cc&amp;pf_rd_r=3F1J4HGH5R4GFFR52PH2&amp;pd_rd_wg=WRLl2&amp;pd_rd_r=332dadce-8055-49ea-95e9-0ac63b05240a&amp;sp_csd=d2lkZ2V0TmFtZT1zcF9kZXRhaWxfdGhlbWF0aWM&amp;th=1" TargetMode="External"/><Relationship Id="rId30" Type="http://schemas.openxmlformats.org/officeDocument/2006/relationships/hyperlink" Target="https://www.walmart.com/ip/Uxcell-Flat-Nylon-Webbing-Strap-2-Inch-20-Yards-Green-for-Backpack-Luggage-rack/937516920" TargetMode="External"/><Relationship Id="rId33" Type="http://schemas.openxmlformats.org/officeDocument/2006/relationships/drawing" Target="../drawings/drawing3.xml"/><Relationship Id="rId32" Type="http://schemas.openxmlformats.org/officeDocument/2006/relationships/hyperlink" Target="https://www.amazon.com/Quzmo-Rechargeable-Lithium-ion-Multimeters-Walkie-Talkie/dp/B0CRYBR876/ref=sr_1_6?dib=eyJ2IjoiMSJ9.AmbU2iWIJWmLrdxVTAnt282MGmjVjs086-2SWVfqZnUfPSwxeMfoGCBT6SzW_7msjsup7AEWUH9MjT7tZ4_8t0e9bolrgquHKyWZT5A79-VKktdHt-M5pSd1f2b24tdsbSC78NrPuV6_JL922AFxPWZNqUrCuq_hqDJ6fj46bDLilJ9e8B4Bfk9xByyp0NS6aKSSNoELk0ilNJu4eAaXr1C_sMkjAC1XTYVv4dyhExVyirpApBgoKmCeQK3opRM8v91XH6q70dIAgzv6DoR6nx5-5YE_TKO7Zjq-qrkVvdI.xeV7tGChITYND5UcpClBXA_y0Mxs-iZG48akDr7FHR4&amp;dib_tag=se&amp;keywords=9v%2Blithium%2Brechargeable%2Bbattery&amp;qid=1758642638&amp;sr=8-6&amp;th=1" TargetMode="External"/><Relationship Id="rId20" Type="http://schemas.openxmlformats.org/officeDocument/2006/relationships/hyperlink" Target="https://www.gobilda.com/m4-x-0-7mm-nylock-nut/?sku=2812-0004-0007" TargetMode="External"/><Relationship Id="rId22" Type="http://schemas.openxmlformats.org/officeDocument/2006/relationships/hyperlink" Target="https://www.servocity.com/2305-series-brass-mod-0-8-servo-gear-25-tooth-spline-30-tooth/" TargetMode="External"/><Relationship Id="rId21" Type="http://schemas.openxmlformats.org/officeDocument/2006/relationships/hyperlink" Target="https://www.parallax.com/product/parallax-feedback-360-high-speed-servo/" TargetMode="External"/><Relationship Id="rId24" Type="http://schemas.openxmlformats.org/officeDocument/2006/relationships/hyperlink" Target="https://www.mcmaster.com/8712K151-8712K152/" TargetMode="External"/><Relationship Id="rId23" Type="http://schemas.openxmlformats.org/officeDocument/2006/relationships/hyperlink" Target="https://www.mcmaster.com/2662n53/" TargetMode="External"/><Relationship Id="rId26" Type="http://schemas.openxmlformats.org/officeDocument/2006/relationships/hyperlink" Target="https://www.digikey.com/en/products/detail/kyocera-avx/ND03P00333K--/1452053?gad_source=1&amp;gad_campaignid=20682862038&amp;gbraid=0AAAAADrbLlihpozHczm7iSeXBJ4Rpn0DV&amp;gclid=Cj0KCQjwxL7GBhDXARIsAGOcmIMkgYX8SvMh8Ca3dpat8Z4KVMCYqJJgqFAxlJ7ChvtwJ06sXMiWvT0aAoIHEALw_wcB&amp;gclsrc=aw.ds" TargetMode="External"/><Relationship Id="rId25" Type="http://schemas.openxmlformats.org/officeDocument/2006/relationships/hyperlink" Target="https://www.amazon.com/12x12x-02-Plexiglass-Flexible-Lightweight-Projects/dp/B0B23S2FZQ/ref=sr_1_6?crid=2QI35UOM8BJSP&amp;dib=eyJ2IjoiMSJ9.FAGgkop97OhZ8iYf3SMZoPSknPl5IQRqOrBdD-r8CQoFc2gZJiu3xhxXcMe3EAEAfNMrGii90WXJZMRyIIQbkVSm9Zpv1vEi3UnG6Eqk4uryikXAmovlxl4l680oEW5sbYBh5GEV5AzqFdXCpafuGfLXrKZLVny9YTe5_OIaV0n4a9dQBKGNgiODYQnZjpa9QYbFU37RfIk3NaJQoFotyHCpDvbIGMT7YPcMKg6qSC64p8r4vnub_FubNTyORXrnJ4bunN5e-HUVLOnuTDRlJ7dpmG9Ho6pQ6_Z-OQcdbBU.VXPNPvMQ4EBPCMOjbHQq9aKunM259aMm5pRZ1lymORA&amp;dib_tag=se&amp;keywords=flexible%2Bclear%2Bplastic%2Bsheet&amp;qid=1759413860&amp;s=industrial&amp;sprefix=flexible%2B%2Cindustrial%2C108&amp;sr=1-6&amp;th=1" TargetMode="External"/><Relationship Id="rId28" Type="http://schemas.openxmlformats.org/officeDocument/2006/relationships/hyperlink" Target="https://www.digikey.com/en/products/detail/alpha-wire/5952-BK001/3714462?gclsrc=aw.ds&amp;gad_source=1&amp;gad_campaignid=22518511088&amp;gbraid=0AAAAADrbLlhVhOLGFCPlUNazu0x0ttA0s&amp;gclid=Cj0KCQjwxL7GBhDXARIsAGOcmIPyQ8hwEqQjQgVImE37vOKvKr1mWB6dPkPzyWkGeovws5WE5QfGTfEaAvJSEALw_wcB" TargetMode="External"/><Relationship Id="rId27" Type="http://schemas.openxmlformats.org/officeDocument/2006/relationships/hyperlink" Target="https://www.digikey.com/en/products/detail/omron-electronics-inc-emc-div/B3F-1020/44059?gclsrc=aw.ds&amp;gad_source=1&amp;gad_campaignid=20509826117&amp;gbraid=0AAAAADrbLlgPahjgQjTiZA4NtmRxex-fT&amp;gclid=Cj0KCQjwxL7GBhDXARIsAGOcmINhvAJ8CTcOZCDOgN0-hotT2-AahMXe-lMgYzgAD1VIPJNkVBgZdqYaAuCqEALw_wcB" TargetMode="External"/><Relationship Id="rId29" Type="http://schemas.openxmlformats.org/officeDocument/2006/relationships/hyperlink" Target="https://www.walmart.com/ip/10Pcs-Buddy-Tape-Finger-Straps-Hook-Loop-Splint-Washable-Reusable-Toe-Straighteners-Curled-Toes-Support-Black/17094772032?wmlspartner=wlpa&amp;selectedSellerId=101044658&amp;wmlspartner=wlpa&amp;cn=FY25-ENTP-PMAX_cnv_dps_dsn_dis_ad_entp_e_n&amp;gclsrc=aw.ds&amp;adid=2222222229717094772032_101044658_0000000000_21407473164&amp;wl0=&amp;wl1=x&amp;wl2=c&amp;wl3=&amp;wl4=&amp;wl5=1017248&amp;wl6=&amp;wl7=&amp;wl8=&amp;wl9=pla&amp;wl10=276374024&amp;wl11=online&amp;wl12=17094772032_101044658&amp;veh=sem&amp;gad_source=1&amp;gad_campaignid=21690411341&amp;gbraid=0AAAAADmfBIop_VMkZGxGUztXQNDLx5Xnb&amp;gclid=Cj0KCQjw0NPGBhCDARIsAGAzpp09Hj-D8jirZ63Fy1QZetg9nVV2-cplttCXt_YcEuHNL-o4IEu5McAaAtNCEALw_wcB" TargetMode="External"/><Relationship Id="rId11" Type="http://schemas.openxmlformats.org/officeDocument/2006/relationships/hyperlink" Target="https://www.gobilda.com/1611-series-flanged-ball-bearing-6mm-id-x-14mm-od-5mm-thickness-2-pack/" TargetMode="External"/><Relationship Id="rId10" Type="http://schemas.openxmlformats.org/officeDocument/2006/relationships/hyperlink" Target="https://www.adafruit.com/product/6011" TargetMode="External"/><Relationship Id="rId13" Type="http://schemas.openxmlformats.org/officeDocument/2006/relationships/hyperlink" Target="https://www.gobilda.com/1201-series-quad-block-pattern-mount-43-2/" TargetMode="External"/><Relationship Id="rId12" Type="http://schemas.openxmlformats.org/officeDocument/2006/relationships/hyperlink" Target="https://www.gobilda.com/1611-series-flanged-ball-bearing-8mm-id-x-14mm-od-5mm-thickness-2-pack/" TargetMode="External"/><Relationship Id="rId15" Type="http://schemas.openxmlformats.org/officeDocument/2006/relationships/hyperlink" Target="https://www.gobilda.com/1120-series-u-channel-9-hole-240mm-length/" TargetMode="External"/><Relationship Id="rId14" Type="http://schemas.openxmlformats.org/officeDocument/2006/relationships/hyperlink" Target="https://www.gobilda.com/shouldered-8mm-rex-hub-shaft-20mm-hub-offset/" TargetMode="External"/><Relationship Id="rId17" Type="http://schemas.openxmlformats.org/officeDocument/2006/relationships/hyperlink" Target="https://www.gobilda.com/1123-series-pattern-plate-1-x-7-hole-43-x-192mm/" TargetMode="External"/><Relationship Id="rId16" Type="http://schemas.openxmlformats.org/officeDocument/2006/relationships/hyperlink" Target="https://www.gobilda.com/m4-x-0-7mm-zinc-plated-socket-head-screw-8mm-length/" TargetMode="External"/><Relationship Id="rId19" Type="http://schemas.openxmlformats.org/officeDocument/2006/relationships/hyperlink" Target="https://www.onlinemetals.com/en/buy/1-8-inch-thick%252c-6-x-12-high-density-polyethylene-white-plastic-sheet-pack-of-2/pid/mp-00028007?_gl=1*dlib3b*_up*MQ..*_ga*MTUwNzAyODgwMS4xNzU5MjQwNjQ1*_ga_C74B6845SE*czE3NTkyNDA2NDQkbzEkZzAkdDE3NTkyNDA2NDQkajYwJGwwJGgw*_ga_DC4616R96N*czE3NTkyNDA2NDQkbzEkZzAkdDE3NTkyNDA2NDQkajYwJGwwJGgw" TargetMode="External"/><Relationship Id="rId18" Type="http://schemas.openxmlformats.org/officeDocument/2006/relationships/hyperlink" Target="https://www.gobilda.com/1106-series-square-beam-13-hole-104mm-length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bilda.com/5203-series-yellow-jacket-planetary-gear-motor-13-7-1-ratio-24mm-length-8mm-rex-shaft-435-rpm-3-3-5v-encoder/" TargetMode="External"/><Relationship Id="rId2" Type="http://schemas.openxmlformats.org/officeDocument/2006/relationships/hyperlink" Target="https://www.gobilda.com/1309-series-sonic-hub-8mm-rex-bore/" TargetMode="External"/><Relationship Id="rId3" Type="http://schemas.openxmlformats.org/officeDocument/2006/relationships/hyperlink" Target="https://www.gobilda.com/hogback-traction-wheel-96mm-diameter-50a-durometer/" TargetMode="External"/><Relationship Id="rId4" Type="http://schemas.openxmlformats.org/officeDocument/2006/relationships/hyperlink" Target="https://www.gobilda.com/roboclaw-2x7a-motor-controller/" TargetMode="External"/><Relationship Id="rId9" Type="http://schemas.openxmlformats.org/officeDocument/2006/relationships/hyperlink" Target="https://greatplainsindustries.com/products/15-amp-inline-blade-fuse-assembly?currency=USD&amp;variant=45309174612203&amp;utm_source=google&amp;utm_medium=cpc&amp;utm_campaign=Google%20Shopping&amp;stkn=a58b0943c3a3&amp;srsltid=AfmBOoqkjYlN-B0OjoPkA-O_3sAOCE-_kUCQOOv8S0REYq6af7ZgD4CSnPc" TargetMode="External"/><Relationship Id="rId5" Type="http://schemas.openxmlformats.org/officeDocument/2006/relationships/hyperlink" Target="https://www.gobilda.com/2802-series-zinc-plated-steel-button-head-screw-m4-x-0-7mm-12mm-length-25-pack/" TargetMode="External"/><Relationship Id="rId6" Type="http://schemas.openxmlformats.org/officeDocument/2006/relationships/hyperlink" Target="https://www.gobilda.com/96mm-omni-wheel-14mm-bore-50a-durometer/" TargetMode="External"/><Relationship Id="rId7" Type="http://schemas.openxmlformats.org/officeDocument/2006/relationships/hyperlink" Target="https://www.amazon.com/Raspberry-Pi-Model-2GB/dp/B09TTNPB4J/ref=sr_1_7?crid=252TN1F58JG7S&amp;dib=eyJ2IjoiMSJ9.HavuMzOx0pibLLpdWCmY0-n0KHJjeMikjbp58OMNJLHzsHsnrnftGjcbTUet3sVDtWfqXrWNT_k0tecU9w3FKXH2ovqggzRmNrAxzCSXAN4MIW-dVt4y_lBv65_4xWlpOFynxAc1vvqZbU0O4POhztxzEWIJLutZkLR7e5QKBxK0QEUaxvljbCqDhgi4j4SycpAX2ISoYqWR0d-ktpwasFRjYiY87Pt-06ZXpK3bbcK7ebo3Efmmhp7IM0G4TjF_fehxUl75SkZ0Lccy942LBsVlldwXyJJTAXj7OyNd4-Q.tSJdz6wDIH7He3vMiH1m9lPeU17o42S3eYchCjiuIN0&amp;dib_tag=se&amp;keywords=raspberry+pi+4b&amp;qid=1758490404&amp;s=electronics&amp;sprefix=raspberry+pi+4b%2Celectronics%2C87&amp;sr=1-7" TargetMode="External"/><Relationship Id="rId8" Type="http://schemas.openxmlformats.org/officeDocument/2006/relationships/hyperlink" Target="https://www.horizonhobby.com/product/SPMX223S30.html?utm_source=google&amp;utm_medium=cpc&amp;utm_campaign=horizonhobby_shopping-catch-all_01_HIGH_NONBRAND&amp;utm_campaignid=21803082141&amp;adgroupid=177403203788&amp;utm_content=717153848083&amp;utm_term=::matchtype_&amp;utm_campaign=horizonhobby_shopping-catch-all_01_HIGH_NONBRAND&amp;utm_device=c&amp;gad_source=1&amp;gad_campaignid=21803082141&amp;gbraid=0AAAAAD_XYFnlHiL7AuJt09DydfHVU8a5E&amp;gclid=Cj0KCQjwxL7GBhDXARIsAGOcmIPf-NNGAqYpJERcda3UWFCJz1_7U0zTVIBhbQ2cUqwIIpjli_aaAZYaAhohEALw_wcB" TargetMode="External"/><Relationship Id="rId31" Type="http://schemas.openxmlformats.org/officeDocument/2006/relationships/drawing" Target="../drawings/drawing4.xml"/><Relationship Id="rId30" Type="http://schemas.openxmlformats.org/officeDocument/2006/relationships/hyperlink" Target="https://www.amazon.com/Quzmo-Rechargeable-Lithium-ion-Multimeters-Walkie-Talkie/dp/B0CRYBR876/ref=sr_1_6?dib=eyJ2IjoiMSJ9.AmbU2iWIJWmLrdxVTAnt282MGmjVjs086-2SWVfqZnUfPSwxeMfoGCBT6SzW_7msjsup7AEWUH9MjT7tZ4_8t0e9bolrgquHKyWZT5A79-VKktdHt-M5pSd1f2b24tdsbSC78NrPuV6_JL922AFxPWZNqUrCuq_hqDJ6fj46bDLilJ9e8B4Bfk9xByyp0NS6aKSSNoELk0ilNJu4eAaXr1C_sMkjAC1XTYVv4dyhExVyirpApBgoKmCeQK3opRM8v91XH6q70dIAgzv6DoR6nx5-5YE_TKO7Zjq-qrkVvdI.xeV7tGChITYND5UcpClBXA_y0Mxs-iZG48akDr7FHR4&amp;dib_tag=se&amp;keywords=9v%2Blithium%2Brechargeable%2Bbattery&amp;qid=1758642638&amp;sr=8-6&amp;th=1" TargetMode="External"/><Relationship Id="rId20" Type="http://schemas.openxmlformats.org/officeDocument/2006/relationships/hyperlink" Target="https://www.mcmaster.com/2662n53/" TargetMode="External"/><Relationship Id="rId22" Type="http://schemas.openxmlformats.org/officeDocument/2006/relationships/hyperlink" Target="https://www.mcmaster.com/8712K151-8712K152/" TargetMode="External"/><Relationship Id="rId21" Type="http://schemas.openxmlformats.org/officeDocument/2006/relationships/hyperlink" Target="https://www.acehardware.com/departments/lawn-and-garden/outdoor-power-equipment/funnels/73094" TargetMode="External"/><Relationship Id="rId24" Type="http://schemas.openxmlformats.org/officeDocument/2006/relationships/hyperlink" Target="https://www.digikey.com/en/products/detail/omron-electronics-inc-emc-div/B3F-1020/44059?gclsrc=aw.ds&amp;gad_source=1&amp;gad_campaignid=20509826117&amp;gbraid=0AAAAADrbLlgPahjgQjTiZA4NtmRxex-fT&amp;gclid=Cj0KCQjwxL7GBhDXARIsAGOcmINhvAJ8CTcOZCDOgN0-hotT2-AahMXe-lMgYzgAD1VIPJNkVBgZdqYaAuCqEALw_wcB" TargetMode="External"/><Relationship Id="rId23" Type="http://schemas.openxmlformats.org/officeDocument/2006/relationships/hyperlink" Target="https://www.digikey.com/en/products/detail/kyocera-avx/ND03P00333K--/1452053?gad_source=1&amp;gad_campaignid=20682862038&amp;gbraid=0AAAAADrbLlihpozHczm7iSeXBJ4Rpn0DV&amp;gclid=Cj0KCQjwxL7GBhDXARIsAGOcmIMkgYX8SvMh8Ca3dpat8Z4KVMCYqJJgqFAxlJ7ChvtwJ06sXMiWvT0aAoIHEALw_wcB&amp;gclsrc=aw.ds" TargetMode="External"/><Relationship Id="rId26" Type="http://schemas.openxmlformats.org/officeDocument/2006/relationships/hyperlink" Target="https://www.amazon.com/100PCS-Reusable-Cable-Ties-Multi-Purpose/dp/B08TTPX4KB/ref=sr_1_10?crid=3AO0XX6E18FN5&amp;dib=eyJ2IjoiMSJ9.5uxKrnhwYWYlS99sRUGol5WdDjhqdalzWfPKt2coPm9nhNE3vEc5eVInBM0FTfooiWFHpSmm9fOvw-Beq1wyCURKQiIkYznaU1ppuQTLK_FlPDgm_5CxKh9iCIgekrRzAhvQl-ehlm9E4s4KKaCjVGVBE3J5bzOCHZP6HlIjtAFJRXYv2sK5PKfPL5eKLPhZsj7wAyWEihAbZhFny3Z4QOJsrYWPqYhbHs5QYQVgEUE.ssU8pSmO4YohGc3aibTPUtze_gN_xwGgPL8R6VNDW3c&amp;dib_tag=se&amp;keywords=thin%2Bvelcro%2Bstrap&amp;qid=1759242218&amp;sprefix=thin%2Bvelcro%2Bstrap%2B%2Caps%2C136&amp;sr=8-10&amp;th=1" TargetMode="External"/><Relationship Id="rId25" Type="http://schemas.openxmlformats.org/officeDocument/2006/relationships/hyperlink" Target="https://www.digikey.com/en/products/detail/alpha-wire/5952-BK001/3714462?gclsrc=aw.ds&amp;gad_source=1&amp;gad_campaignid=22518511088&amp;gbraid=0AAAAADrbLlhVhOLGFCPlUNazu0x0ttA0s&amp;gclid=Cj0KCQjwxL7GBhDXARIsAGOcmIPyQ8hwEqQjQgVImE37vOKvKr1mWB6dPkPzyWkGeovws5WE5QfGTfEaAvJSEALw_wcB" TargetMode="External"/><Relationship Id="rId28" Type="http://schemas.openxmlformats.org/officeDocument/2006/relationships/hyperlink" Target="https://www.amazon.com/Plastic-Ladder-Adjustable-Backpack-Webbing/dp/B07X6CKF9J/ref=sr_1_8?crid=2REO62JIF6PFA&amp;dib=eyJ2IjoiMSJ9.FBSX7gHO34VUYworgCPtvKCwvRa2ZLlRGeu0XCL2RfNBNAcTbs96EXjsrwz6S5S8rtSTd0Poa6M2HGvuoZD5vC4iWcAMByUFIPcBiNkoa43-kn94RbLg9nfIsYyNoyrbnJUuxkSAElTGKJ1WdMMOKVHWt8vSouOd5f76UZg1CSVkCrsUQQwyYVjaQoGoDog0ZkH25JUymkMYb4jHe4b_Gh08tRoFBjbcsrmHfUZVhKDz9oClDPTdokkIWP111RGBd5VThWPby2DXzyZAJtSUYCKok3zCpe2jvdV9IYLeEGE.qKpBfBWgHv0gLrdEVLP_RmnwDQYrvDuPduhLbl4L-k8&amp;dib_tag=se&amp;keywords=2%2Bin%2Bladder%2Block&amp;qid=1759242412&amp;sprefix=2%2Bin%2Bladder%2Block%2B%2Caps%2C126&amp;sr=8-8&amp;th=1" TargetMode="External"/><Relationship Id="rId27" Type="http://schemas.openxmlformats.org/officeDocument/2006/relationships/hyperlink" Target="https://www.amazon.com/PerkHomy-Webbing-Lightweight-Crafting-Repairing/dp/B0DKHCGQX8/ref=sr_1_2_sspa?dib=eyJ2IjoiMSJ9.Pda-R7EW_MfioyDKuUhetgMA2FHwFgVhe2z5H8evgaLWEfyZletO3rzE4DvLlRbzNzNicZRkWMqdtVHlRo-ZgGmDj4dzN_nAeM97bQ-w0KGHj7bvXO5kFiX5Kd0ZuTd-vMPR0__KZlzj-gV8psHJ4ifzEbDCuKMR-e667sKIY5ARoBJpUitUTlr5ym80Zx-IONKJfAO_f0qXTU9lRNenKQC0VMx9zyRki75qqlED2NWcab4X8PP2aQiWBdfBtY-7mE-CowFtZnQDPZtyeXATySBtdOXNrRkWpU0ZeJlNcuc._xfHV88g0eSTFwXjG6ERn8N_P_pe6NseAzwzG_Vou40&amp;dib_tag=se&amp;hvadid=694130734047&amp;hvdev=c&amp;hvexpln=67&amp;hvlocphy=9016261&amp;hvnetw=g&amp;hvocijid=4653629168605544221--&amp;hvqmt=b&amp;hvrand=4653629168605544221&amp;hvtargid=kwd-2034930858&amp;hydadcr=24634_13626630&amp;keywords=2%2Binch%2Bnylon%2Bwebbing&amp;mcid=2ef6ee1a3eaf34f1b0e99770c76534ec&amp;qid=1759242049&amp;sr=8-2-spons&amp;sp_csd=d2lkZ2V0TmFtZT1zcF9hdGY&amp;th=1" TargetMode="External"/><Relationship Id="rId29" Type="http://schemas.openxmlformats.org/officeDocument/2006/relationships/hyperlink" Target="https://www.amazon.com/dp/B08SL9X2YC/ref=sspa_dk_detail_3?pd_rd_i=B08SL9X2YC&amp;pd_rd_w=SXj0A&amp;content-id=amzn1.sym.f2f1cf8f-cab4-44dc-82ba-0ca811fb90cc&amp;pf_rd_p=f2f1cf8f-cab4-44dc-82ba-0ca811fb90cc&amp;pf_rd_r=3F1J4HGH5R4GFFR52PH2&amp;pd_rd_wg=WRLl2&amp;pd_rd_r=332dadce-8055-49ea-95e9-0ac63b05240a&amp;sp_csd=d2lkZ2V0TmFtZT1zcF9kZXRhaWxfdGhlbWF0aWM&amp;th=1" TargetMode="External"/><Relationship Id="rId11" Type="http://schemas.openxmlformats.org/officeDocument/2006/relationships/hyperlink" Target="https://www.gobilda.com/1611-series-flanged-ball-bearing-6mm-id-x-14mm-od-5mm-thickness-2-pack/" TargetMode="External"/><Relationship Id="rId10" Type="http://schemas.openxmlformats.org/officeDocument/2006/relationships/hyperlink" Target="https://www.adafruit.com/product/6011" TargetMode="External"/><Relationship Id="rId13" Type="http://schemas.openxmlformats.org/officeDocument/2006/relationships/hyperlink" Target="https://www.gobilda.com/1201-series-quad-block-pattern-mount-43-2/" TargetMode="External"/><Relationship Id="rId12" Type="http://schemas.openxmlformats.org/officeDocument/2006/relationships/hyperlink" Target="https://www.gobilda.com/1611-series-flanged-ball-bearing-8mm-id-x-14mm-od-5mm-thickness-2-pack/" TargetMode="External"/><Relationship Id="rId15" Type="http://schemas.openxmlformats.org/officeDocument/2006/relationships/hyperlink" Target="https://www.gobilda.com/1120-series-u-channel-9-hole-240mm-length/" TargetMode="External"/><Relationship Id="rId14" Type="http://schemas.openxmlformats.org/officeDocument/2006/relationships/hyperlink" Target="https://www.gobilda.com/shouldered-8mm-rex-hub-shaft-20mm-hub-offset/" TargetMode="External"/><Relationship Id="rId17" Type="http://schemas.openxmlformats.org/officeDocument/2006/relationships/hyperlink" Target="https://www.gobilda.com/m4-x-0-7mm-nylock-nut/?sku=2812-0004-0007" TargetMode="External"/><Relationship Id="rId16" Type="http://schemas.openxmlformats.org/officeDocument/2006/relationships/hyperlink" Target="https://www.gobilda.com/m4-x-0-7mm-zinc-plated-socket-head-screw-8mm-length/" TargetMode="External"/><Relationship Id="rId19" Type="http://schemas.openxmlformats.org/officeDocument/2006/relationships/hyperlink" Target="https://www.gobilda.com/2305-series-brass-mod-0-8-servo-gear-25-tooth-spline-20-tooth/" TargetMode="External"/><Relationship Id="rId18" Type="http://schemas.openxmlformats.org/officeDocument/2006/relationships/hyperlink" Target="https://www.adafruit.com/product/3614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kyocera-avx/ND03P00333K--/1452053?gad_source=1&amp;gad_campaignid=20682862038&amp;gbraid=0AAAAADrbLlihpozHczm7iSeXBJ4Rpn0DV&amp;gclid=Cj0KCQjwxL7GBhDXARIsAGOcmIMkgYX8SvMh8Ca3dpat8Z4KVMCYqJJgqFAxlJ7ChvtwJ06sXMiWvT0aAoIHEALw_wcB&amp;gclsrc=aw.ds" TargetMode="External"/><Relationship Id="rId2" Type="http://schemas.openxmlformats.org/officeDocument/2006/relationships/hyperlink" Target="https://www.digikey.com/en/products/detail/omron-electronics-inc-emc-div/B3F-1020/44059?gclsrc=aw.ds&amp;gad_source=1&amp;gad_campaignid=20509826117&amp;gbraid=0AAAAADrbLlgPahjgQjTiZA4NtmRxex-fT&amp;gclid=Cj0KCQjwxL7GBhDXARIsAGOcmINhvAJ8CTcOZCDOgN0-hotT2-AahMXe-lMgYzgAD1VIPJNkVBgZdqYaAuCqEALw_wcB" TargetMode="External"/><Relationship Id="rId3" Type="http://schemas.openxmlformats.org/officeDocument/2006/relationships/hyperlink" Target="https://www.adafruit.com/product/6011" TargetMode="External"/><Relationship Id="rId4" Type="http://schemas.openxmlformats.org/officeDocument/2006/relationships/hyperlink" Target="https://www.amazon.com/Raspberry-Zero-Bluetooth-RPi-2W/dp/B09LH5SBPS/ref=sr_1_1?crid=IAYO9RHYYNDE&amp;dib=eyJ2IjoiMSJ9.3BENuF2Ktu1UHOlVshSOQbzOMw-RCTR_xgvcMZPiKB_TiMbTC0Kfmvd9ccD-1WiPSfAIvORbJUCnc3B4ci0u1t34-E_YR7j7Aca9zlrt3pIhKnooj0ZaYcoEPhWQIUjfpjw6dd1Q2lY0tGYMR8zjJwyM7PBSK8LdZGx4C1BPQqfEpP0G7AuIO7iSJPEI1YfiUAh7Yf1aju6KNsxJ_xjoyk01n794R3foEM2nHxRddyNsE3UmePMEPhuILvu8b3LHXwI7KiGTo0CysIUnO6Yxv1LoCLopMta52uQvhKapzjg.xdKXkecY2uiIA-oP3PhjkSMjNbgXGQlTGpyOYGTpEws&amp;dib_tag=se&amp;keywords=raspberry+pi+02w&amp;qid=1758490121&amp;s=electronics&amp;sprefix=raspberry+pi+02w%2Celectronics%2C111&amp;sr=1-1" TargetMode="External"/><Relationship Id="rId9" Type="http://schemas.openxmlformats.org/officeDocument/2006/relationships/hyperlink" Target="https://www.mcmaster.com/products/gear-racks/plastic-gears-and-gear-racks-20-pressure-angle/" TargetMode="External"/><Relationship Id="rId5" Type="http://schemas.openxmlformats.org/officeDocument/2006/relationships/hyperlink" Target="http://amazon.com/Powermax-24-Count-Batteries-Recloseable-Packaging/dp/B0BFFQQHRY/ref=sr_1_7?crid=349M4RTAKP3LU&amp;dib=eyJ2IjoiMSJ9.sDk8mHya1-twxNdSRCH3uOxsUV1iruH7wiWHxBgGFYyKl3uY8UYWyDVfF4KMip1aPt2ZVJL_lywPfxiIlBhgTNbCRPPH-Q_7KX9nnbsSJ6lO_THu7adO5YgocwDSKVa6f9L2rJIgh18TOmz3GaER-UVfJMFUuslyFzbEF3JXdWutOql7wsIn1SBEIz9l6Ap2t0Q7EfCtcTYL8E4JrPx25kPJ1GRlujiqCmhkaXoJ299PELBy73ahflFJOcaGy0LUzXB-_DZw8v3W8ZvAPzs3IbupzI-kZAjLeRO8HnY646k.xKhxhNfhXkvZy7WOmhx3OiHYHpOxH-rPpamI53eGUH4&amp;dib_tag=se&amp;keywords=aaa+batteries&amp;qid=1758489895&amp;rdc=1&amp;sprefix=aaa+batteries%2Caps%2C147&amp;sr=8-7" TargetMode="External"/><Relationship Id="rId6" Type="http://schemas.openxmlformats.org/officeDocument/2006/relationships/hyperlink" Target="https://www.amazon.com/WSZJINB-Reusable-Securing-Management-Organizer/dp/B09YPZBSMK/ref=ast_sto_dp_puis?th=1" TargetMode="External"/><Relationship Id="rId7" Type="http://schemas.openxmlformats.org/officeDocument/2006/relationships/hyperlink" Target="https://www.adafruit.com/product/3614" TargetMode="External"/><Relationship Id="rId8" Type="http://schemas.openxmlformats.org/officeDocument/2006/relationships/hyperlink" Target="https://www.servocity.com/2305-series-brass-mod-0-8-servo-gear-25-tooth-spline-20-tooth/" TargetMode="External"/><Relationship Id="rId20" Type="http://schemas.openxmlformats.org/officeDocument/2006/relationships/hyperlink" Target="https://www.horizonhobby.com/product/SPMX223S30.html?utm_source=google&amp;utm_medium=cpc&amp;utm_campaign=horizonhobby_shopping-catch-all_01_HIGH_NONBRAND&amp;utm_campaignid=21803082141&amp;adgroupid=177403203788&amp;utm_content=717153848083&amp;utm_term=::matchtype_&amp;utm_campaign=horizonhobby_shopping-catch-all_01_HIGH_NONBRAND&amp;utm_device=c&amp;gad_source=1&amp;gad_campaignid=21803082141&amp;gbraid=0AAAAAD_XYFnlHiL7AuJt09DydfHVU8a5E&amp;gclid=Cj0KCQjwxL7GBhDXARIsAGOcmIPf-NNGAqYpJERcda3UWFCJz1_7U0zTVIBhbQ2cUqwIIpjli_aaAZYaAhohEALw_wcB" TargetMode="External"/><Relationship Id="rId22" Type="http://schemas.openxmlformats.org/officeDocument/2006/relationships/hyperlink" Target="https://www.digikey.com/en/products/detail/alpha-wire/5952-BK001/3714462?gclsrc=aw.ds&amp;gad_source=1&amp;gad_campaignid=22518511088&amp;gbraid=0AAAAADrbLlhVhOLGFCPlUNazu0x0ttA0s&amp;gclid=Cj0KCQjwxL7GBhDXARIsAGOcmIPyQ8hwEqQjQgVImE37vOKvKr1mWB6dPkPzyWkGeovws5WE5QfGTfEaAvJSEALw_wcB" TargetMode="External"/><Relationship Id="rId21" Type="http://schemas.openxmlformats.org/officeDocument/2006/relationships/hyperlink" Target="https://greatplainsindustries.com/products/15-amp-inline-blade-fuse-assembly?currency=USD&amp;variant=45309174612203&amp;utm_source=google&amp;utm_medium=cpc&amp;utm_campaign=Google%20Shopping&amp;stkn=a58b0943c3a3&amp;srsltid=AfmBOoqkjYlN-B0OjoPkA-O_3sAOCE-_kUCQOOv8S0REYq6af7ZgD4CSnPc" TargetMode="External"/><Relationship Id="rId23" Type="http://schemas.openxmlformats.org/officeDocument/2006/relationships/drawing" Target="../drawings/drawing5.xml"/><Relationship Id="rId11" Type="http://schemas.openxmlformats.org/officeDocument/2006/relationships/hyperlink" Target="https://www.acehardware.com/departments/lawn-and-garden/outdoor-power-equipment/funnels/73094" TargetMode="External"/><Relationship Id="rId10" Type="http://schemas.openxmlformats.org/officeDocument/2006/relationships/hyperlink" Target="https://www.mcmaster.com/products/gear-racks/plastic-gears-and-gear-racks-20-pressure-angle/" TargetMode="External"/><Relationship Id="rId13" Type="http://schemas.openxmlformats.org/officeDocument/2006/relationships/hyperlink" Target="https://www.gobilda.com/1309-series-sonic-hub-8mm-rex-bore/" TargetMode="External"/><Relationship Id="rId12" Type="http://schemas.openxmlformats.org/officeDocument/2006/relationships/hyperlink" Target="https://www.gobilda.com/5203-series-yellow-jacket-planetary-gear-motor-13-7-1-ratio-24mm-length-8mm-rex-shaft-435-rpm-3-3-5v-encoder/" TargetMode="External"/><Relationship Id="rId15" Type="http://schemas.openxmlformats.org/officeDocument/2006/relationships/hyperlink" Target="https://www.gobilda.com/96mm-omni-wheel-14mm-bore-50a-durometer/" TargetMode="External"/><Relationship Id="rId14" Type="http://schemas.openxmlformats.org/officeDocument/2006/relationships/hyperlink" Target="https://www.gobilda.com/hogback-traction-wheel-96mm-diameter-50a-durometer/" TargetMode="External"/><Relationship Id="rId17" Type="http://schemas.openxmlformats.org/officeDocument/2006/relationships/hyperlink" Target="https://www.adafruit.com/product/6011" TargetMode="External"/><Relationship Id="rId16" Type="http://schemas.openxmlformats.org/officeDocument/2006/relationships/hyperlink" Target="https://www.gobilda.com/roboclaw-2x7a-motor-controller/" TargetMode="External"/><Relationship Id="rId19" Type="http://schemas.openxmlformats.org/officeDocument/2006/relationships/hyperlink" Target="https://www.amazon.com/Raspberry-Pi-Model-2GB/dp/B09TTNPB4J/ref=sr_1_7?crid=252TN1F58JG7S&amp;dib=eyJ2IjoiMSJ9.HavuMzOx0pibLLpdWCmY0-n0KHJjeMikjbp58OMNJLHzsHsnrnftGjcbTUet3sVDtWfqXrWNT_k0tecU9w3FKXH2ovqggzRmNrAxzCSXAN4MIW-dVt4y_lBv65_4xWlpOFynxAc1vvqZbU0O4POhztxzEWIJLutZkLR7e5QKBxK0QEUaxvljbCqDhgi4j4SycpAX2ISoYqWR0d-ktpwasFRjYiY87Pt-06ZXpK3bbcK7ebo3Efmmhp7IM0G4TjF_fehxUl75SkZ0Lccy942LBsVlldwXyJJTAXj7OyNd4-Q.tSJdz6wDIH7He3vMiH1m9lPeU17o42S3eYchCjiuIN0&amp;dib_tag=se&amp;keywords=raspberry+pi+4b&amp;qid=1758490404&amp;s=electronics&amp;sprefix=raspberry+pi+4b%2Celectronics%2C87&amp;sr=1-7" TargetMode="External"/><Relationship Id="rId18" Type="http://schemas.openxmlformats.org/officeDocument/2006/relationships/hyperlink" Target="https://www.gobilda.com/1120-series-u-channel-9-hole-240mm-length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5.5"/>
    <col customWidth="1" min="2" max="2" width="34.75"/>
    <col collapsed="1" min="3" max="3" width="12.63"/>
    <col hidden="1" min="4" max="5" width="12.63" outlineLevel="1"/>
    <col customWidth="1" min="6" max="10" width="23.38"/>
    <col customWidth="1" min="11" max="11" width="112.5"/>
    <col customWidth="1" min="12" max="12" width="17.38"/>
    <col customWidth="1" min="13" max="13" width="75.13"/>
  </cols>
  <sheetData>
    <row r="1">
      <c r="A1" s="1" t="s">
        <v>0</v>
      </c>
      <c r="K1" s="1"/>
      <c r="L1" s="1"/>
      <c r="M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/>
      <c r="H2" s="2"/>
      <c r="I2" s="2"/>
      <c r="J2" s="2"/>
      <c r="K2" s="2" t="s">
        <v>6</v>
      </c>
      <c r="L2" s="2"/>
      <c r="M2" s="2"/>
    </row>
    <row r="3">
      <c r="A3" s="3" t="s">
        <v>7</v>
      </c>
      <c r="B3" s="3" t="s">
        <v>8</v>
      </c>
      <c r="C3" s="3" t="s">
        <v>9</v>
      </c>
      <c r="D3" s="3">
        <v>15.0</v>
      </c>
      <c r="E3" s="3" t="s">
        <v>10</v>
      </c>
      <c r="F3" s="2"/>
      <c r="G3" s="2"/>
      <c r="H3" s="2" t="s">
        <v>11</v>
      </c>
      <c r="I3" s="4">
        <f>1000</f>
        <v>1000</v>
      </c>
      <c r="J3" s="4"/>
      <c r="K3" s="2"/>
      <c r="L3" s="2"/>
      <c r="M3" s="2"/>
    </row>
    <row r="4">
      <c r="A4" s="3" t="s">
        <v>12</v>
      </c>
      <c r="B4" s="3" t="s">
        <v>13</v>
      </c>
      <c r="C4" s="3" t="s">
        <v>9</v>
      </c>
      <c r="D4" s="5">
        <v>10.0</v>
      </c>
      <c r="E4" s="5" t="s">
        <v>10</v>
      </c>
      <c r="F4" s="2"/>
      <c r="G4" s="2"/>
      <c r="H4" s="2" t="s">
        <v>14</v>
      </c>
      <c r="I4" s="4">
        <f>I3-(F64)</f>
        <v>307.38</v>
      </c>
      <c r="J4" s="2"/>
      <c r="K4" s="2"/>
      <c r="L4" s="2"/>
      <c r="M4" s="2"/>
    </row>
    <row r="5">
      <c r="A5" s="3" t="s">
        <v>15</v>
      </c>
      <c r="B5" s="3" t="s">
        <v>8</v>
      </c>
      <c r="C5" s="3" t="s">
        <v>9</v>
      </c>
      <c r="D5" s="3" t="s">
        <v>16</v>
      </c>
      <c r="E5" s="5" t="s">
        <v>10</v>
      </c>
      <c r="F5" s="2"/>
      <c r="G5" s="2"/>
      <c r="H5" s="2" t="s">
        <v>17</v>
      </c>
      <c r="I5" s="4">
        <f>I4-G64</f>
        <v>163.86</v>
      </c>
      <c r="J5" s="2"/>
      <c r="K5" s="2"/>
      <c r="L5" s="2"/>
      <c r="M5" s="2"/>
    </row>
    <row r="6">
      <c r="A6" s="6" t="s">
        <v>18</v>
      </c>
    </row>
    <row r="7">
      <c r="A7" s="7" t="s">
        <v>19</v>
      </c>
      <c r="B7" s="7" t="s">
        <v>20</v>
      </c>
      <c r="C7" s="7" t="s">
        <v>21</v>
      </c>
      <c r="D7" s="8" t="s">
        <v>22</v>
      </c>
      <c r="E7" s="8" t="s">
        <v>23</v>
      </c>
      <c r="F7" s="8" t="s">
        <v>24</v>
      </c>
      <c r="G7" s="8" t="s">
        <v>25</v>
      </c>
      <c r="H7" s="8" t="s">
        <v>26</v>
      </c>
      <c r="I7" s="8" t="s">
        <v>27</v>
      </c>
      <c r="J7" s="8" t="s">
        <v>28</v>
      </c>
      <c r="K7" s="7" t="s">
        <v>29</v>
      </c>
      <c r="L7" s="8" t="s">
        <v>30</v>
      </c>
      <c r="M7" s="7" t="s">
        <v>31</v>
      </c>
    </row>
    <row r="8">
      <c r="A8" s="9" t="s">
        <v>32</v>
      </c>
      <c r="B8" s="10" t="s">
        <v>33</v>
      </c>
      <c r="C8" s="11">
        <v>2.0</v>
      </c>
      <c r="D8" s="12">
        <v>46.74</v>
      </c>
      <c r="E8" s="13">
        <f t="shared" ref="E8:E16" si="1">C8*D8</f>
        <v>93.48</v>
      </c>
      <c r="F8" s="12">
        <v>93.48</v>
      </c>
      <c r="G8" s="12">
        <v>0.0</v>
      </c>
      <c r="H8" s="14">
        <v>45930.0</v>
      </c>
      <c r="I8" s="15" t="s">
        <v>34</v>
      </c>
      <c r="J8" s="16" t="s">
        <v>10</v>
      </c>
      <c r="K8" s="17" t="s">
        <v>35</v>
      </c>
      <c r="L8" s="18" t="s">
        <v>36</v>
      </c>
      <c r="M8" s="19"/>
    </row>
    <row r="9">
      <c r="A9" s="20"/>
      <c r="B9" s="18" t="s">
        <v>37</v>
      </c>
      <c r="C9" s="21">
        <v>2.0</v>
      </c>
      <c r="D9" s="12">
        <v>6.79</v>
      </c>
      <c r="E9" s="13">
        <f t="shared" si="1"/>
        <v>13.58</v>
      </c>
      <c r="F9" s="12">
        <v>13.58</v>
      </c>
      <c r="G9" s="12">
        <v>0.0</v>
      </c>
      <c r="H9" s="14">
        <v>45930.0</v>
      </c>
      <c r="I9" s="15" t="s">
        <v>34</v>
      </c>
      <c r="J9" s="16" t="s">
        <v>10</v>
      </c>
      <c r="K9" s="22" t="s">
        <v>38</v>
      </c>
      <c r="L9" s="18" t="s">
        <v>36</v>
      </c>
      <c r="M9" s="19"/>
    </row>
    <row r="10">
      <c r="A10" s="20"/>
      <c r="B10" s="18" t="s">
        <v>39</v>
      </c>
      <c r="C10" s="23">
        <v>2.0</v>
      </c>
      <c r="D10" s="12">
        <v>8.49</v>
      </c>
      <c r="E10" s="13">
        <f t="shared" si="1"/>
        <v>16.98</v>
      </c>
      <c r="F10" s="12">
        <v>16.98</v>
      </c>
      <c r="G10" s="12">
        <v>0.0</v>
      </c>
      <c r="H10" s="24">
        <v>45930.0</v>
      </c>
      <c r="I10" s="15" t="s">
        <v>34</v>
      </c>
      <c r="J10" s="16" t="s">
        <v>10</v>
      </c>
      <c r="K10" s="25" t="s">
        <v>40</v>
      </c>
      <c r="L10" s="18" t="s">
        <v>36</v>
      </c>
      <c r="M10" s="19"/>
    </row>
    <row r="11">
      <c r="A11" s="20"/>
      <c r="B11" s="18" t="s">
        <v>41</v>
      </c>
      <c r="C11" s="23">
        <v>1.0</v>
      </c>
      <c r="D11" s="12">
        <v>84.99</v>
      </c>
      <c r="E11" s="13">
        <f t="shared" si="1"/>
        <v>84.99</v>
      </c>
      <c r="F11" s="12">
        <v>84.99</v>
      </c>
      <c r="G11" s="12">
        <v>0.0</v>
      </c>
      <c r="H11" s="24">
        <v>45930.0</v>
      </c>
      <c r="I11" s="15" t="s">
        <v>34</v>
      </c>
      <c r="J11" s="16" t="s">
        <v>10</v>
      </c>
      <c r="K11" s="25" t="s">
        <v>42</v>
      </c>
      <c r="L11" s="18" t="s">
        <v>36</v>
      </c>
      <c r="M11" s="19"/>
    </row>
    <row r="12">
      <c r="A12" s="20"/>
      <c r="B12" s="26" t="s">
        <v>43</v>
      </c>
      <c r="C12" s="23">
        <v>2.0</v>
      </c>
      <c r="D12" s="12">
        <v>3.05</v>
      </c>
      <c r="E12" s="13">
        <f t="shared" si="1"/>
        <v>6.1</v>
      </c>
      <c r="F12" s="12">
        <v>6.1</v>
      </c>
      <c r="G12" s="12">
        <v>0.0</v>
      </c>
      <c r="H12" s="14">
        <v>45930.0</v>
      </c>
      <c r="I12" s="15" t="s">
        <v>34</v>
      </c>
      <c r="J12" s="16" t="s">
        <v>10</v>
      </c>
      <c r="K12" s="25" t="s">
        <v>44</v>
      </c>
      <c r="L12" s="18" t="s">
        <v>36</v>
      </c>
      <c r="M12" s="19"/>
    </row>
    <row r="13">
      <c r="A13" s="20"/>
      <c r="B13" s="26" t="s">
        <v>45</v>
      </c>
      <c r="C13" s="23">
        <v>2.0</v>
      </c>
      <c r="D13" s="12">
        <v>18.69</v>
      </c>
      <c r="E13" s="13">
        <f t="shared" si="1"/>
        <v>37.38</v>
      </c>
      <c r="F13" s="12">
        <v>0.0</v>
      </c>
      <c r="G13" s="12">
        <v>37.38</v>
      </c>
      <c r="H13" s="24">
        <v>45930.0</v>
      </c>
      <c r="I13" s="27" t="s">
        <v>46</v>
      </c>
      <c r="J13" s="16" t="s">
        <v>10</v>
      </c>
      <c r="K13" s="25" t="s">
        <v>47</v>
      </c>
      <c r="L13" s="18" t="s">
        <v>36</v>
      </c>
      <c r="M13" s="19"/>
    </row>
    <row r="14">
      <c r="A14" s="20"/>
      <c r="B14" s="28" t="s">
        <v>48</v>
      </c>
      <c r="C14" s="21">
        <v>1.0</v>
      </c>
      <c r="D14" s="13">
        <v>59.99</v>
      </c>
      <c r="E14" s="13">
        <f t="shared" si="1"/>
        <v>59.99</v>
      </c>
      <c r="F14" s="12">
        <v>59.99</v>
      </c>
      <c r="G14" s="12">
        <v>0.0</v>
      </c>
      <c r="H14" s="29">
        <v>45932.0</v>
      </c>
      <c r="I14" s="30" t="s">
        <v>49</v>
      </c>
      <c r="J14" s="16" t="s">
        <v>10</v>
      </c>
      <c r="K14" s="31" t="s">
        <v>50</v>
      </c>
      <c r="L14" s="32" t="s">
        <v>36</v>
      </c>
      <c r="M14" s="19"/>
    </row>
    <row r="15">
      <c r="A15" s="20"/>
      <c r="B15" s="18" t="s">
        <v>51</v>
      </c>
      <c r="C15" s="21">
        <v>1.0</v>
      </c>
      <c r="D15" s="12">
        <v>55.24</v>
      </c>
      <c r="E15" s="13">
        <f t="shared" si="1"/>
        <v>55.24</v>
      </c>
      <c r="F15" s="12">
        <v>55.24</v>
      </c>
      <c r="G15" s="12">
        <v>0.0</v>
      </c>
      <c r="H15" s="29">
        <v>45932.0</v>
      </c>
      <c r="I15" s="30" t="s">
        <v>52</v>
      </c>
      <c r="J15" s="16" t="s">
        <v>16</v>
      </c>
      <c r="K15" s="33" t="s">
        <v>53</v>
      </c>
      <c r="L15" s="32" t="s">
        <v>36</v>
      </c>
      <c r="M15" s="19"/>
    </row>
    <row r="16">
      <c r="A16" s="20"/>
      <c r="B16" s="18" t="s">
        <v>54</v>
      </c>
      <c r="C16" s="21">
        <v>1.0</v>
      </c>
      <c r="D16" s="12">
        <v>9.99</v>
      </c>
      <c r="E16" s="13">
        <f t="shared" si="1"/>
        <v>9.99</v>
      </c>
      <c r="F16" s="12">
        <v>9.82</v>
      </c>
      <c r="G16" s="12">
        <v>0.0</v>
      </c>
      <c r="H16" s="29">
        <v>45932.0</v>
      </c>
      <c r="I16" s="30" t="s">
        <v>49</v>
      </c>
      <c r="J16" s="16" t="s">
        <v>10</v>
      </c>
      <c r="K16" s="33" t="s">
        <v>55</v>
      </c>
      <c r="L16" s="32" t="s">
        <v>56</v>
      </c>
      <c r="M16" s="19"/>
    </row>
    <row r="17">
      <c r="A17" s="20"/>
      <c r="B17" s="18" t="s">
        <v>57</v>
      </c>
      <c r="C17" s="23">
        <v>2.0</v>
      </c>
      <c r="D17" s="12">
        <v>3.39</v>
      </c>
      <c r="E17" s="12">
        <v>6.78</v>
      </c>
      <c r="F17" s="12">
        <v>6.78</v>
      </c>
      <c r="G17" s="12">
        <v>0.0</v>
      </c>
      <c r="H17" s="29">
        <v>45932.0</v>
      </c>
      <c r="I17" s="30" t="s">
        <v>52</v>
      </c>
      <c r="J17" s="16" t="s">
        <v>10</v>
      </c>
      <c r="K17" s="33" t="s">
        <v>58</v>
      </c>
      <c r="L17" s="18" t="s">
        <v>56</v>
      </c>
      <c r="M17" s="19"/>
    </row>
    <row r="18">
      <c r="A18" s="20"/>
      <c r="B18" s="18" t="s">
        <v>59</v>
      </c>
      <c r="C18" s="23">
        <v>1.0</v>
      </c>
      <c r="D18" s="12">
        <v>3.39</v>
      </c>
      <c r="E18" s="13">
        <f t="shared" ref="E18:E22" si="2">C18*D18</f>
        <v>3.39</v>
      </c>
      <c r="F18" s="12">
        <v>3.39</v>
      </c>
      <c r="G18" s="12">
        <v>0.0</v>
      </c>
      <c r="H18" s="34">
        <v>45930.0</v>
      </c>
      <c r="I18" s="15" t="s">
        <v>34</v>
      </c>
      <c r="J18" s="16" t="s">
        <v>10</v>
      </c>
      <c r="K18" s="33" t="s">
        <v>60</v>
      </c>
      <c r="L18" s="18" t="s">
        <v>36</v>
      </c>
      <c r="M18" s="18" t="s">
        <v>61</v>
      </c>
    </row>
    <row r="19">
      <c r="A19" s="20"/>
      <c r="B19" s="18" t="s">
        <v>62</v>
      </c>
      <c r="C19" s="18">
        <v>1.0</v>
      </c>
      <c r="D19" s="35">
        <v>3.39</v>
      </c>
      <c r="E19" s="13">
        <f t="shared" si="2"/>
        <v>3.39</v>
      </c>
      <c r="F19" s="12">
        <v>3.39</v>
      </c>
      <c r="G19" s="12">
        <v>0.0</v>
      </c>
      <c r="H19" s="36">
        <v>45932.0</v>
      </c>
      <c r="I19" s="37" t="s">
        <v>52</v>
      </c>
      <c r="J19" s="16" t="s">
        <v>10</v>
      </c>
      <c r="K19" s="38" t="s">
        <v>63</v>
      </c>
      <c r="L19" s="18" t="s">
        <v>36</v>
      </c>
      <c r="M19" s="18" t="s">
        <v>61</v>
      </c>
    </row>
    <row r="20">
      <c r="A20" s="20"/>
      <c r="B20" s="39" t="s">
        <v>64</v>
      </c>
      <c r="C20" s="18">
        <v>2.0</v>
      </c>
      <c r="D20" s="35">
        <v>5.94</v>
      </c>
      <c r="E20" s="13">
        <f t="shared" si="2"/>
        <v>11.88</v>
      </c>
      <c r="F20" s="12">
        <v>11.88</v>
      </c>
      <c r="G20" s="12">
        <v>0.0</v>
      </c>
      <c r="H20" s="40">
        <v>45930.0</v>
      </c>
      <c r="I20" s="15" t="s">
        <v>34</v>
      </c>
      <c r="J20" s="16" t="s">
        <v>10</v>
      </c>
      <c r="K20" s="38" t="s">
        <v>65</v>
      </c>
      <c r="L20" s="18" t="s">
        <v>36</v>
      </c>
      <c r="M20" s="19"/>
    </row>
    <row r="21">
      <c r="A21" s="20"/>
      <c r="B21" s="18" t="s">
        <v>66</v>
      </c>
      <c r="C21" s="18">
        <v>2.0</v>
      </c>
      <c r="D21" s="35">
        <v>11.04</v>
      </c>
      <c r="E21" s="13">
        <f t="shared" si="2"/>
        <v>22.08</v>
      </c>
      <c r="F21" s="12">
        <v>22.08</v>
      </c>
      <c r="G21" s="12">
        <v>0.0</v>
      </c>
      <c r="H21" s="40">
        <v>45930.0</v>
      </c>
      <c r="I21" s="15" t="s">
        <v>34</v>
      </c>
      <c r="J21" s="16" t="s">
        <v>10</v>
      </c>
      <c r="K21" s="38" t="s">
        <v>67</v>
      </c>
      <c r="L21" s="18" t="s">
        <v>36</v>
      </c>
      <c r="M21" s="19"/>
    </row>
    <row r="22">
      <c r="A22" s="20"/>
      <c r="B22" s="18" t="s">
        <v>68</v>
      </c>
      <c r="C22" s="18">
        <v>1.0</v>
      </c>
      <c r="D22" s="35">
        <v>18.69</v>
      </c>
      <c r="E22" s="13">
        <f t="shared" si="2"/>
        <v>18.69</v>
      </c>
      <c r="F22" s="12">
        <v>18.69</v>
      </c>
      <c r="G22" s="12">
        <v>0.0</v>
      </c>
      <c r="H22" s="41">
        <v>45939.0</v>
      </c>
      <c r="I22" s="30" t="s">
        <v>69</v>
      </c>
      <c r="J22" s="16" t="s">
        <v>10</v>
      </c>
      <c r="K22" s="38" t="s">
        <v>70</v>
      </c>
      <c r="L22" s="18" t="s">
        <v>36</v>
      </c>
      <c r="M22" s="19"/>
    </row>
    <row r="23">
      <c r="A23" s="20"/>
      <c r="B23" s="18" t="s">
        <v>71</v>
      </c>
      <c r="C23" s="18">
        <v>1.0</v>
      </c>
      <c r="D23" s="35">
        <v>4.99</v>
      </c>
      <c r="E23" s="12">
        <v>4.99</v>
      </c>
      <c r="F23" s="12">
        <v>4.99</v>
      </c>
      <c r="G23" s="12">
        <v>0.0</v>
      </c>
      <c r="H23" s="42">
        <v>45965.0</v>
      </c>
      <c r="I23" s="30" t="s">
        <v>72</v>
      </c>
      <c r="J23" s="16" t="s">
        <v>10</v>
      </c>
      <c r="K23" s="43"/>
      <c r="L23" s="18"/>
      <c r="M23" s="19"/>
    </row>
    <row r="24">
      <c r="A24" s="20"/>
      <c r="B24" s="18" t="s">
        <v>73</v>
      </c>
      <c r="C24" s="18">
        <v>1.0</v>
      </c>
      <c r="D24" s="35">
        <v>34.95</v>
      </c>
      <c r="E24" s="12">
        <v>34.95</v>
      </c>
      <c r="F24" s="12">
        <v>0.0</v>
      </c>
      <c r="G24" s="12">
        <v>34.95</v>
      </c>
      <c r="H24" s="44">
        <v>45985.0</v>
      </c>
      <c r="I24" s="45" t="s">
        <v>74</v>
      </c>
      <c r="J24" s="16" t="s">
        <v>10</v>
      </c>
      <c r="K24" s="38" t="s">
        <v>75</v>
      </c>
      <c r="L24" s="18" t="s">
        <v>56</v>
      </c>
      <c r="M24" s="19"/>
    </row>
    <row r="25">
      <c r="A25" s="46" t="s">
        <v>76</v>
      </c>
      <c r="B25" s="18" t="s">
        <v>77</v>
      </c>
      <c r="C25" s="23">
        <v>4.0</v>
      </c>
      <c r="D25" s="12">
        <v>11.04</v>
      </c>
      <c r="E25" s="13">
        <f t="shared" ref="E25:E29" si="3">C25*D25</f>
        <v>44.16</v>
      </c>
      <c r="F25" s="13">
        <v>44.16</v>
      </c>
      <c r="G25" s="12">
        <v>0.0</v>
      </c>
      <c r="H25" s="14">
        <v>45930.0</v>
      </c>
      <c r="I25" s="15" t="s">
        <v>34</v>
      </c>
      <c r="J25" s="16" t="s">
        <v>10</v>
      </c>
      <c r="K25" s="47" t="s">
        <v>78</v>
      </c>
      <c r="L25" s="18" t="s">
        <v>56</v>
      </c>
      <c r="M25" s="19"/>
    </row>
    <row r="26">
      <c r="A26" s="48"/>
      <c r="B26" s="18" t="s">
        <v>79</v>
      </c>
      <c r="C26" s="23">
        <v>2.0</v>
      </c>
      <c r="D26" s="12">
        <v>2.71</v>
      </c>
      <c r="E26" s="13">
        <f t="shared" si="3"/>
        <v>5.42</v>
      </c>
      <c r="F26" s="12">
        <v>5.42</v>
      </c>
      <c r="G26" s="12">
        <v>0.0</v>
      </c>
      <c r="H26" s="14">
        <v>45930.0</v>
      </c>
      <c r="I26" s="15" t="s">
        <v>34</v>
      </c>
      <c r="J26" s="16" t="s">
        <v>10</v>
      </c>
      <c r="K26" s="47" t="s">
        <v>80</v>
      </c>
      <c r="L26" s="18" t="s">
        <v>56</v>
      </c>
      <c r="M26" s="19"/>
    </row>
    <row r="27">
      <c r="A27" s="48"/>
      <c r="B27" s="18" t="s">
        <v>81</v>
      </c>
      <c r="C27" s="23">
        <v>2.0</v>
      </c>
      <c r="D27" s="12">
        <v>2.54</v>
      </c>
      <c r="E27" s="13">
        <f t="shared" si="3"/>
        <v>5.08</v>
      </c>
      <c r="F27" s="12">
        <v>5.08</v>
      </c>
      <c r="G27" s="12">
        <v>0.0</v>
      </c>
      <c r="H27" s="14">
        <v>45930.0</v>
      </c>
      <c r="I27" s="15" t="s">
        <v>34</v>
      </c>
      <c r="J27" s="16" t="s">
        <v>10</v>
      </c>
      <c r="K27" s="47" t="s">
        <v>82</v>
      </c>
      <c r="L27" s="18" t="s">
        <v>56</v>
      </c>
      <c r="M27" s="19"/>
    </row>
    <row r="28">
      <c r="A28" s="48"/>
      <c r="B28" s="49" t="s">
        <v>83</v>
      </c>
      <c r="C28" s="23">
        <v>1.0</v>
      </c>
      <c r="D28" s="12">
        <v>5.99</v>
      </c>
      <c r="E28" s="13">
        <f t="shared" si="3"/>
        <v>5.99</v>
      </c>
      <c r="F28" s="12">
        <v>5.09</v>
      </c>
      <c r="G28" s="12">
        <v>0.0</v>
      </c>
      <c r="H28" s="14">
        <v>45930.0</v>
      </c>
      <c r="I28" s="15" t="s">
        <v>34</v>
      </c>
      <c r="J28" s="16" t="s">
        <v>10</v>
      </c>
      <c r="K28" s="47" t="s">
        <v>84</v>
      </c>
      <c r="L28" s="18" t="s">
        <v>56</v>
      </c>
    </row>
    <row r="29">
      <c r="A29" s="48"/>
      <c r="B29" s="49" t="s">
        <v>85</v>
      </c>
      <c r="C29" s="23">
        <v>2.0</v>
      </c>
      <c r="D29" s="12">
        <v>4.79</v>
      </c>
      <c r="E29" s="13">
        <f t="shared" si="3"/>
        <v>9.58</v>
      </c>
      <c r="F29" s="12">
        <v>8.14</v>
      </c>
      <c r="G29" s="12">
        <v>0.0</v>
      </c>
      <c r="H29" s="14">
        <v>45930.0</v>
      </c>
      <c r="I29" s="15" t="s">
        <v>34</v>
      </c>
      <c r="J29" s="16" t="s">
        <v>10</v>
      </c>
      <c r="K29" s="47" t="s">
        <v>86</v>
      </c>
      <c r="L29" s="18" t="s">
        <v>56</v>
      </c>
    </row>
    <row r="30">
      <c r="A30" s="48"/>
      <c r="B30" s="50" t="s">
        <v>87</v>
      </c>
      <c r="C30" s="23">
        <v>1.0</v>
      </c>
      <c r="D30" s="12">
        <v>8.99</v>
      </c>
      <c r="E30" s="12">
        <v>8.99</v>
      </c>
      <c r="F30" s="12">
        <v>8.99</v>
      </c>
      <c r="G30" s="12">
        <v>0.0</v>
      </c>
      <c r="H30" s="51">
        <v>45932.0</v>
      </c>
      <c r="I30" s="30" t="s">
        <v>49</v>
      </c>
      <c r="J30" s="16" t="s">
        <v>10</v>
      </c>
      <c r="K30" s="52" t="s">
        <v>88</v>
      </c>
      <c r="L30" s="18" t="s">
        <v>56</v>
      </c>
      <c r="M30" s="53" t="s">
        <v>89</v>
      </c>
    </row>
    <row r="31">
      <c r="A31" s="48"/>
      <c r="B31" s="54" t="s">
        <v>90</v>
      </c>
      <c r="C31" s="23">
        <v>1.0</v>
      </c>
      <c r="D31" s="12">
        <v>6.99</v>
      </c>
      <c r="E31" s="13">
        <f t="shared" ref="E31:E32" si="4">C31*D31</f>
        <v>6.99</v>
      </c>
      <c r="F31" s="12">
        <v>6.99</v>
      </c>
      <c r="G31" s="12">
        <v>0.0</v>
      </c>
      <c r="H31" s="41">
        <v>45939.0</v>
      </c>
      <c r="I31" s="30" t="s">
        <v>69</v>
      </c>
      <c r="J31" s="16" t="s">
        <v>10</v>
      </c>
      <c r="K31" s="52" t="s">
        <v>91</v>
      </c>
      <c r="L31" s="18" t="s">
        <v>56</v>
      </c>
      <c r="M31" s="53" t="s">
        <v>89</v>
      </c>
    </row>
    <row r="32">
      <c r="A32" s="48"/>
      <c r="B32" s="55" t="s">
        <v>92</v>
      </c>
      <c r="C32" s="23">
        <v>1.0</v>
      </c>
      <c r="D32" s="12">
        <v>12.99</v>
      </c>
      <c r="E32" s="13">
        <f t="shared" si="4"/>
        <v>12.99</v>
      </c>
      <c r="F32" s="12">
        <v>12.99</v>
      </c>
      <c r="G32" s="12">
        <v>0.0</v>
      </c>
      <c r="H32" s="51">
        <v>45932.0</v>
      </c>
      <c r="I32" s="30" t="s">
        <v>49</v>
      </c>
      <c r="J32" s="16" t="s">
        <v>10</v>
      </c>
      <c r="K32" s="52" t="s">
        <v>93</v>
      </c>
      <c r="L32" s="18" t="s">
        <v>94</v>
      </c>
    </row>
    <row r="33">
      <c r="A33" s="48"/>
      <c r="B33" s="54" t="s">
        <v>95</v>
      </c>
      <c r="C33" s="23">
        <v>1.0</v>
      </c>
      <c r="D33" s="12">
        <v>0.85</v>
      </c>
      <c r="E33" s="12">
        <v>0.85</v>
      </c>
      <c r="F33" s="12">
        <v>0.0</v>
      </c>
      <c r="G33" s="12">
        <v>0.85</v>
      </c>
      <c r="H33" s="56">
        <v>45967.0</v>
      </c>
      <c r="I33" s="27" t="s">
        <v>46</v>
      </c>
      <c r="J33" s="16" t="s">
        <v>10</v>
      </c>
      <c r="K33" s="57" t="s">
        <v>96</v>
      </c>
      <c r="L33" s="18" t="s">
        <v>97</v>
      </c>
      <c r="M33" s="18"/>
    </row>
    <row r="34">
      <c r="A34" s="48"/>
      <c r="B34" s="54" t="s">
        <v>98</v>
      </c>
      <c r="C34" s="23">
        <v>7.0</v>
      </c>
      <c r="D34" s="12">
        <v>0.45</v>
      </c>
      <c r="E34" s="13">
        <f t="shared" ref="E34:E35" si="5">C34*D34</f>
        <v>3.15</v>
      </c>
      <c r="F34" s="12">
        <v>0.0</v>
      </c>
      <c r="G34" s="12">
        <f t="shared" ref="G34:G35" si="6">E34</f>
        <v>3.15</v>
      </c>
      <c r="H34" s="56">
        <v>45967.0</v>
      </c>
      <c r="I34" s="27" t="s">
        <v>46</v>
      </c>
      <c r="J34" s="16" t="s">
        <v>10</v>
      </c>
      <c r="K34" s="57" t="s">
        <v>99</v>
      </c>
      <c r="L34" s="18" t="s">
        <v>56</v>
      </c>
      <c r="M34" s="18"/>
    </row>
    <row r="35">
      <c r="A35" s="48"/>
      <c r="B35" s="58" t="s">
        <v>100</v>
      </c>
      <c r="C35" s="23">
        <v>2.0</v>
      </c>
      <c r="D35" s="12">
        <v>0.44</v>
      </c>
      <c r="E35" s="13">
        <f t="shared" si="5"/>
        <v>0.88</v>
      </c>
      <c r="F35" s="12">
        <v>0.0</v>
      </c>
      <c r="G35" s="12">
        <f t="shared" si="6"/>
        <v>0.88</v>
      </c>
      <c r="H35" s="56">
        <v>45939.0</v>
      </c>
      <c r="I35" s="27" t="s">
        <v>46</v>
      </c>
      <c r="J35" s="16" t="s">
        <v>10</v>
      </c>
      <c r="K35" s="57" t="s">
        <v>101</v>
      </c>
      <c r="L35" s="18" t="s">
        <v>102</v>
      </c>
      <c r="M35" s="18" t="s">
        <v>103</v>
      </c>
    </row>
    <row r="36">
      <c r="A36" s="48"/>
      <c r="B36" s="18" t="s">
        <v>104</v>
      </c>
      <c r="C36" s="18">
        <v>1.0</v>
      </c>
      <c r="D36" s="35">
        <v>6.39</v>
      </c>
      <c r="E36" s="12">
        <v>7.99</v>
      </c>
      <c r="F36" s="12">
        <v>7.99</v>
      </c>
      <c r="G36" s="12">
        <v>0.0</v>
      </c>
      <c r="H36" s="44">
        <v>45986.0</v>
      </c>
      <c r="I36" s="45" t="s">
        <v>105</v>
      </c>
      <c r="J36" s="16" t="s">
        <v>10</v>
      </c>
      <c r="K36" s="43"/>
      <c r="L36" s="18"/>
      <c r="M36" s="19"/>
    </row>
    <row r="37">
      <c r="A37" s="48"/>
      <c r="B37" s="18" t="s">
        <v>106</v>
      </c>
      <c r="C37" s="18">
        <v>1.0</v>
      </c>
      <c r="D37" s="35">
        <v>15.78</v>
      </c>
      <c r="E37" s="12">
        <f t="shared" ref="E37:F37" si="7">D37</f>
        <v>15.78</v>
      </c>
      <c r="F37" s="12">
        <f t="shared" si="7"/>
        <v>15.78</v>
      </c>
      <c r="G37" s="12">
        <v>0.0</v>
      </c>
      <c r="H37" s="44">
        <v>45986.0</v>
      </c>
      <c r="I37" s="45" t="s">
        <v>107</v>
      </c>
      <c r="J37" s="16" t="s">
        <v>10</v>
      </c>
      <c r="K37" s="43"/>
      <c r="L37" s="18"/>
      <c r="M37" s="19"/>
    </row>
    <row r="38">
      <c r="A38" s="48"/>
      <c r="B38" s="18" t="s">
        <v>108</v>
      </c>
      <c r="C38" s="18">
        <v>1.0</v>
      </c>
      <c r="D38" s="35">
        <v>17.99</v>
      </c>
      <c r="E38" s="13">
        <f>C38*D38</f>
        <v>17.99</v>
      </c>
      <c r="F38" s="12">
        <v>17.99</v>
      </c>
      <c r="G38" s="12">
        <v>0.0</v>
      </c>
      <c r="H38" s="59">
        <v>45958.0</v>
      </c>
      <c r="I38" s="15" t="s">
        <v>109</v>
      </c>
      <c r="J38" s="16" t="s">
        <v>10</v>
      </c>
      <c r="K38" s="38" t="s">
        <v>67</v>
      </c>
      <c r="L38" s="18" t="s">
        <v>36</v>
      </c>
      <c r="M38" s="19"/>
    </row>
    <row r="39">
      <c r="A39" s="48"/>
      <c r="B39" s="18" t="s">
        <v>110</v>
      </c>
      <c r="C39" s="18">
        <v>1.0</v>
      </c>
      <c r="D39" s="35">
        <v>9.49</v>
      </c>
      <c r="E39" s="12">
        <v>9.49</v>
      </c>
      <c r="F39" s="12">
        <v>9.49</v>
      </c>
      <c r="G39" s="12">
        <v>0.0</v>
      </c>
      <c r="H39" s="42">
        <v>45965.0</v>
      </c>
      <c r="I39" s="30" t="s">
        <v>111</v>
      </c>
      <c r="J39" s="16" t="s">
        <v>10</v>
      </c>
      <c r="K39" s="43"/>
      <c r="L39" s="18"/>
      <c r="M39" s="19"/>
    </row>
    <row r="40">
      <c r="A40" s="60" t="s">
        <v>112</v>
      </c>
      <c r="B40" s="18" t="s">
        <v>113</v>
      </c>
      <c r="C40" s="23">
        <v>1.0</v>
      </c>
      <c r="D40" s="12">
        <v>22.88</v>
      </c>
      <c r="E40" s="13">
        <f t="shared" ref="E40:E58" si="8">C40*D40</f>
        <v>22.88</v>
      </c>
      <c r="F40" s="12">
        <v>22.88</v>
      </c>
      <c r="G40" s="12">
        <v>0.0</v>
      </c>
      <c r="H40" s="56">
        <v>45932.0</v>
      </c>
      <c r="I40" s="30" t="s">
        <v>49</v>
      </c>
      <c r="J40" s="16" t="s">
        <v>10</v>
      </c>
      <c r="K40" s="25" t="s">
        <v>114</v>
      </c>
      <c r="L40" s="18" t="s">
        <v>56</v>
      </c>
      <c r="M40" s="19"/>
    </row>
    <row r="41">
      <c r="A41" s="61"/>
      <c r="B41" s="18" t="s">
        <v>115</v>
      </c>
      <c r="C41" s="23">
        <v>1.0</v>
      </c>
      <c r="D41" s="12">
        <v>9.34</v>
      </c>
      <c r="E41" s="13">
        <f t="shared" si="8"/>
        <v>9.34</v>
      </c>
      <c r="F41" s="12">
        <v>9.34</v>
      </c>
      <c r="G41" s="12">
        <v>0.0</v>
      </c>
      <c r="H41" s="62">
        <v>45930.0</v>
      </c>
      <c r="I41" s="15" t="s">
        <v>34</v>
      </c>
      <c r="J41" s="16" t="s">
        <v>10</v>
      </c>
      <c r="K41" s="63" t="s">
        <v>116</v>
      </c>
      <c r="L41" s="18" t="s">
        <v>56</v>
      </c>
      <c r="M41" s="18"/>
    </row>
    <row r="42">
      <c r="A42" s="61"/>
      <c r="B42" s="18" t="s">
        <v>117</v>
      </c>
      <c r="C42" s="23">
        <v>1.0</v>
      </c>
      <c r="D42" s="12">
        <v>3.87</v>
      </c>
      <c r="E42" s="13">
        <f t="shared" si="8"/>
        <v>3.87</v>
      </c>
      <c r="F42" s="12">
        <v>3.87</v>
      </c>
      <c r="G42" s="12">
        <v>3.87</v>
      </c>
      <c r="H42" s="64">
        <v>45932.0</v>
      </c>
      <c r="I42" s="65" t="s">
        <v>118</v>
      </c>
      <c r="J42" s="16" t="s">
        <v>10</v>
      </c>
      <c r="K42" s="57" t="s">
        <v>119</v>
      </c>
      <c r="L42" s="18" t="s">
        <v>56</v>
      </c>
      <c r="M42" s="19"/>
    </row>
    <row r="43">
      <c r="A43" s="61"/>
      <c r="B43" s="18" t="s">
        <v>120</v>
      </c>
      <c r="C43" s="23">
        <v>1.0</v>
      </c>
      <c r="D43" s="12">
        <v>18.34</v>
      </c>
      <c r="E43" s="13">
        <f t="shared" si="8"/>
        <v>18.34</v>
      </c>
      <c r="F43" s="12">
        <v>0.0</v>
      </c>
      <c r="G43" s="12">
        <v>18.34</v>
      </c>
      <c r="H43" s="66"/>
      <c r="I43" s="67"/>
      <c r="J43" s="16" t="s">
        <v>10</v>
      </c>
      <c r="K43" s="68" t="s">
        <v>46</v>
      </c>
      <c r="L43" s="18" t="s">
        <v>121</v>
      </c>
      <c r="M43" s="69"/>
    </row>
    <row r="44">
      <c r="A44" s="61"/>
      <c r="B44" s="18" t="s">
        <v>122</v>
      </c>
      <c r="C44" s="23">
        <v>1.0</v>
      </c>
      <c r="D44" s="12">
        <v>4.8</v>
      </c>
      <c r="E44" s="13">
        <f t="shared" si="8"/>
        <v>4.8</v>
      </c>
      <c r="F44" s="70">
        <v>4.8</v>
      </c>
      <c r="G44" s="12">
        <v>4.8</v>
      </c>
      <c r="H44" s="71">
        <v>45932.0</v>
      </c>
      <c r="I44" s="37" t="s">
        <v>118</v>
      </c>
      <c r="J44" s="16" t="s">
        <v>10</v>
      </c>
      <c r="K44" s="63" t="s">
        <v>123</v>
      </c>
      <c r="L44" s="18" t="s">
        <v>124</v>
      </c>
      <c r="M44" s="19"/>
    </row>
    <row r="45">
      <c r="A45" s="61"/>
      <c r="B45" s="18" t="s">
        <v>125</v>
      </c>
      <c r="C45" s="23">
        <v>2.0</v>
      </c>
      <c r="D45" s="12">
        <v>0.59</v>
      </c>
      <c r="E45" s="13">
        <f t="shared" si="8"/>
        <v>1.18</v>
      </c>
      <c r="F45" s="12">
        <v>0.0</v>
      </c>
      <c r="G45" s="12">
        <v>1.18</v>
      </c>
      <c r="H45" s="72" t="s">
        <v>126</v>
      </c>
      <c r="I45" s="73" t="s">
        <v>127</v>
      </c>
      <c r="J45" s="16" t="s">
        <v>10</v>
      </c>
      <c r="K45" s="74" t="s">
        <v>127</v>
      </c>
      <c r="L45" s="18"/>
      <c r="M45" s="19"/>
    </row>
    <row r="46">
      <c r="A46" s="61"/>
      <c r="B46" s="18" t="s">
        <v>128</v>
      </c>
      <c r="C46" s="23">
        <v>6.0</v>
      </c>
      <c r="D46" s="12">
        <v>0.5</v>
      </c>
      <c r="E46" s="12">
        <f t="shared" si="8"/>
        <v>3</v>
      </c>
      <c r="F46" s="12">
        <v>0.0</v>
      </c>
      <c r="G46" s="12">
        <v>3.0</v>
      </c>
      <c r="H46" s="75" t="s">
        <v>126</v>
      </c>
      <c r="I46" s="67" t="s">
        <v>127</v>
      </c>
      <c r="J46" s="16" t="s">
        <v>10</v>
      </c>
      <c r="K46" s="74" t="s">
        <v>127</v>
      </c>
      <c r="L46" s="18"/>
      <c r="M46" s="19"/>
    </row>
    <row r="47">
      <c r="A47" s="61"/>
      <c r="B47" s="18" t="s">
        <v>129</v>
      </c>
      <c r="C47" s="23">
        <v>1.0</v>
      </c>
      <c r="D47" s="12">
        <v>8.54</v>
      </c>
      <c r="E47" s="13">
        <f t="shared" si="8"/>
        <v>8.54</v>
      </c>
      <c r="F47" s="12">
        <v>8.54</v>
      </c>
      <c r="G47" s="12">
        <v>0.0</v>
      </c>
      <c r="H47" s="51">
        <v>45932.0</v>
      </c>
      <c r="I47" s="30" t="s">
        <v>49</v>
      </c>
      <c r="J47" s="16" t="s">
        <v>10</v>
      </c>
      <c r="K47" s="76" t="s">
        <v>114</v>
      </c>
      <c r="L47" s="18" t="s">
        <v>124</v>
      </c>
      <c r="M47" s="19"/>
    </row>
    <row r="48">
      <c r="A48" s="77" t="s">
        <v>130</v>
      </c>
      <c r="B48" s="26" t="s">
        <v>131</v>
      </c>
      <c r="C48" s="78">
        <v>2.0</v>
      </c>
      <c r="D48" s="79">
        <v>2.91</v>
      </c>
      <c r="E48" s="13">
        <f t="shared" si="8"/>
        <v>5.82</v>
      </c>
      <c r="F48" s="12">
        <v>0.0</v>
      </c>
      <c r="G48" s="12">
        <f>5.82*2</f>
        <v>11.64</v>
      </c>
      <c r="H48" s="80"/>
      <c r="I48" s="81"/>
      <c r="J48" s="16" t="s">
        <v>10</v>
      </c>
      <c r="K48" s="10"/>
      <c r="L48" s="10"/>
      <c r="M48" s="19"/>
    </row>
    <row r="49">
      <c r="A49" s="82" t="s">
        <v>132</v>
      </c>
      <c r="B49" s="18" t="s">
        <v>133</v>
      </c>
      <c r="C49" s="18">
        <v>1.0</v>
      </c>
      <c r="D49" s="35">
        <v>13.99</v>
      </c>
      <c r="E49" s="13">
        <f t="shared" si="8"/>
        <v>13.99</v>
      </c>
      <c r="F49" s="12">
        <v>13.99</v>
      </c>
      <c r="G49" s="12">
        <v>0.0</v>
      </c>
      <c r="H49" s="83">
        <v>45965.0</v>
      </c>
      <c r="I49" s="84" t="s">
        <v>134</v>
      </c>
      <c r="J49" s="16" t="s">
        <v>10</v>
      </c>
      <c r="K49" s="85" t="s">
        <v>135</v>
      </c>
      <c r="L49" s="18" t="s">
        <v>56</v>
      </c>
      <c r="M49" s="19"/>
    </row>
    <row r="50">
      <c r="A50" s="86"/>
      <c r="B50" s="18" t="s">
        <v>136</v>
      </c>
      <c r="C50" s="18">
        <v>2.0</v>
      </c>
      <c r="D50" s="35">
        <v>0.1</v>
      </c>
      <c r="E50" s="13">
        <f t="shared" si="8"/>
        <v>0.2</v>
      </c>
      <c r="F50" s="12">
        <v>0.0</v>
      </c>
      <c r="G50" s="12">
        <v>0.2</v>
      </c>
      <c r="H50" s="87">
        <v>45939.0</v>
      </c>
      <c r="I50" s="88" t="s">
        <v>137</v>
      </c>
      <c r="J50" s="16" t="s">
        <v>10</v>
      </c>
      <c r="K50" s="89" t="s">
        <v>138</v>
      </c>
      <c r="L50" s="18" t="s">
        <v>56</v>
      </c>
      <c r="M50" s="19"/>
    </row>
    <row r="51" ht="18.75" customHeight="1">
      <c r="A51" s="86"/>
      <c r="B51" s="18" t="s">
        <v>139</v>
      </c>
      <c r="C51" s="18">
        <v>1.0</v>
      </c>
      <c r="D51" s="35">
        <f>0.82*4+7.99</f>
        <v>11.27</v>
      </c>
      <c r="E51" s="13">
        <f t="shared" si="8"/>
        <v>11.27</v>
      </c>
      <c r="F51" s="12">
        <v>7.99</v>
      </c>
      <c r="G51" s="12">
        <f>E51-F51</f>
        <v>3.28</v>
      </c>
      <c r="H51" s="90">
        <v>45939.0</v>
      </c>
      <c r="I51" s="30" t="s">
        <v>140</v>
      </c>
      <c r="J51" s="16" t="s">
        <v>10</v>
      </c>
      <c r="K51" s="25" t="s">
        <v>141</v>
      </c>
      <c r="L51" s="18" t="s">
        <v>56</v>
      </c>
      <c r="M51" s="19"/>
    </row>
    <row r="52">
      <c r="A52" s="86"/>
      <c r="B52" s="18" t="s">
        <v>142</v>
      </c>
      <c r="C52" s="18">
        <v>1.0</v>
      </c>
      <c r="D52" s="35">
        <v>4.99</v>
      </c>
      <c r="E52" s="13">
        <f t="shared" si="8"/>
        <v>4.99</v>
      </c>
      <c r="F52" s="12">
        <v>4.99</v>
      </c>
      <c r="G52" s="12">
        <v>0.0</v>
      </c>
      <c r="H52" s="51">
        <v>45932.0</v>
      </c>
      <c r="I52" s="30" t="s">
        <v>49</v>
      </c>
      <c r="J52" s="16" t="s">
        <v>10</v>
      </c>
      <c r="K52" s="85" t="s">
        <v>143</v>
      </c>
      <c r="L52" s="18" t="s">
        <v>144</v>
      </c>
      <c r="M52" s="19"/>
    </row>
    <row r="53">
      <c r="A53" s="86"/>
      <c r="B53" s="18" t="s">
        <v>145</v>
      </c>
      <c r="C53" s="18">
        <v>1.0</v>
      </c>
      <c r="D53" s="35">
        <v>8.39</v>
      </c>
      <c r="E53" s="13">
        <f t="shared" si="8"/>
        <v>8.39</v>
      </c>
      <c r="F53" s="12">
        <v>8.39</v>
      </c>
      <c r="G53" s="12">
        <v>0.0</v>
      </c>
      <c r="H53" s="51">
        <v>45932.0</v>
      </c>
      <c r="I53" s="30" t="s">
        <v>49</v>
      </c>
      <c r="J53" s="16" t="s">
        <v>10</v>
      </c>
      <c r="K53" s="85" t="s">
        <v>146</v>
      </c>
      <c r="L53" s="18"/>
      <c r="M53" s="19"/>
    </row>
    <row r="54">
      <c r="A54" s="86"/>
      <c r="B54" s="18" t="s">
        <v>147</v>
      </c>
      <c r="C54" s="18">
        <v>2.0</v>
      </c>
      <c r="D54" s="35">
        <v>10.0</v>
      </c>
      <c r="E54" s="13">
        <f t="shared" si="8"/>
        <v>20</v>
      </c>
      <c r="F54" s="12">
        <v>0.0</v>
      </c>
      <c r="G54" s="12">
        <v>20.0</v>
      </c>
      <c r="H54" s="91">
        <v>45930.0</v>
      </c>
      <c r="I54" s="27" t="s">
        <v>46</v>
      </c>
      <c r="J54" s="16" t="s">
        <v>10</v>
      </c>
      <c r="K54" s="92" t="s">
        <v>127</v>
      </c>
      <c r="L54" s="18" t="s">
        <v>56</v>
      </c>
      <c r="M54" s="19"/>
    </row>
    <row r="55">
      <c r="A55" s="86"/>
      <c r="B55" s="18" t="s">
        <v>148</v>
      </c>
      <c r="C55" s="18">
        <v>1.0</v>
      </c>
      <c r="D55" s="35">
        <v>3.59</v>
      </c>
      <c r="E55" s="13">
        <f t="shared" si="8"/>
        <v>3.59</v>
      </c>
      <c r="F55" s="12">
        <v>3.59</v>
      </c>
      <c r="G55" s="12">
        <v>0.0</v>
      </c>
      <c r="H55" s="93">
        <v>45937.0</v>
      </c>
      <c r="I55" s="37" t="s">
        <v>149</v>
      </c>
      <c r="J55" s="16" t="s">
        <v>10</v>
      </c>
      <c r="K55" s="89" t="s">
        <v>150</v>
      </c>
      <c r="L55" s="18"/>
      <c r="M55" s="19"/>
    </row>
    <row r="56">
      <c r="A56" s="86"/>
      <c r="B56" s="18" t="s">
        <v>151</v>
      </c>
      <c r="C56" s="18">
        <v>1.0</v>
      </c>
      <c r="D56" s="35">
        <v>8.99</v>
      </c>
      <c r="E56" s="13">
        <f t="shared" si="8"/>
        <v>8.99</v>
      </c>
      <c r="F56" s="12">
        <v>8.99</v>
      </c>
      <c r="G56" s="12">
        <v>0.0</v>
      </c>
      <c r="H56" s="93">
        <v>45937.0</v>
      </c>
      <c r="I56" s="37" t="s">
        <v>149</v>
      </c>
      <c r="J56" s="16" t="s">
        <v>10</v>
      </c>
      <c r="K56" s="89" t="s">
        <v>152</v>
      </c>
      <c r="L56" s="18" t="s">
        <v>56</v>
      </c>
      <c r="M56" s="19"/>
    </row>
    <row r="57">
      <c r="A57" s="86"/>
      <c r="B57" s="18" t="s">
        <v>153</v>
      </c>
      <c r="C57" s="18">
        <v>1.0</v>
      </c>
      <c r="D57" s="35">
        <v>9.99</v>
      </c>
      <c r="E57" s="13">
        <f t="shared" si="8"/>
        <v>9.99</v>
      </c>
      <c r="F57" s="12">
        <v>9.99</v>
      </c>
      <c r="G57" s="12">
        <v>0.0</v>
      </c>
      <c r="H57" s="93">
        <v>45937.0</v>
      </c>
      <c r="I57" s="37" t="s">
        <v>154</v>
      </c>
      <c r="J57" s="16" t="s">
        <v>10</v>
      </c>
      <c r="K57" s="38" t="s">
        <v>155</v>
      </c>
      <c r="L57" s="18" t="s">
        <v>56</v>
      </c>
      <c r="M57" s="19"/>
    </row>
    <row r="58">
      <c r="A58" s="86"/>
      <c r="B58" s="18" t="s">
        <v>156</v>
      </c>
      <c r="C58" s="18">
        <v>1.0</v>
      </c>
      <c r="D58" s="35">
        <v>7.58</v>
      </c>
      <c r="E58" s="13">
        <f t="shared" si="8"/>
        <v>7.58</v>
      </c>
      <c r="F58" s="12">
        <v>7.58</v>
      </c>
      <c r="G58" s="12">
        <v>0.0</v>
      </c>
      <c r="H58" s="93">
        <v>45937.0</v>
      </c>
      <c r="I58" s="37" t="s">
        <v>149</v>
      </c>
      <c r="J58" s="16" t="s">
        <v>10</v>
      </c>
      <c r="K58" s="89" t="s">
        <v>157</v>
      </c>
      <c r="L58" s="18"/>
      <c r="M58" s="19"/>
    </row>
    <row r="59">
      <c r="A59" s="77" t="s">
        <v>158</v>
      </c>
      <c r="B59" s="18" t="s">
        <v>159</v>
      </c>
      <c r="C59" s="19"/>
      <c r="D59" s="94"/>
      <c r="E59" s="94"/>
      <c r="F59" s="94">
        <f>11.99-5</f>
        <v>6.99</v>
      </c>
      <c r="G59" s="12">
        <v>0.0</v>
      </c>
      <c r="H59" s="95"/>
      <c r="I59" s="19"/>
      <c r="J59" s="19"/>
      <c r="K59" s="18" t="s">
        <v>160</v>
      </c>
      <c r="L59" s="19"/>
      <c r="M59" s="19"/>
    </row>
    <row r="60">
      <c r="A60" s="96"/>
      <c r="B60" s="18" t="s">
        <v>161</v>
      </c>
      <c r="C60" s="19"/>
      <c r="D60" s="94"/>
      <c r="E60" s="94"/>
      <c r="F60" s="35">
        <v>0.0</v>
      </c>
      <c r="G60" s="12">
        <v>0.0</v>
      </c>
      <c r="H60" s="95"/>
      <c r="I60" s="19"/>
      <c r="J60" s="19"/>
      <c r="K60" s="97" t="s">
        <v>162</v>
      </c>
      <c r="L60" s="19"/>
      <c r="M60" s="19"/>
    </row>
    <row r="61">
      <c r="A61" s="96"/>
      <c r="B61" s="18" t="s">
        <v>163</v>
      </c>
      <c r="C61" s="19"/>
      <c r="D61" s="94"/>
      <c r="E61" s="94"/>
      <c r="F61" s="35">
        <v>0.0</v>
      </c>
      <c r="G61" s="12">
        <v>0.0</v>
      </c>
      <c r="H61" s="95"/>
      <c r="I61" s="19"/>
      <c r="J61" s="19"/>
      <c r="K61" s="19"/>
      <c r="L61" s="19"/>
      <c r="M61" s="19"/>
    </row>
    <row r="62">
      <c r="A62" s="96"/>
      <c r="B62" s="18" t="s">
        <v>164</v>
      </c>
      <c r="C62" s="19"/>
      <c r="D62" s="94"/>
      <c r="E62" s="94"/>
      <c r="F62" s="35">
        <v>9.21</v>
      </c>
      <c r="G62" s="12">
        <v>0.0</v>
      </c>
      <c r="H62" s="95"/>
      <c r="I62" s="19"/>
      <c r="J62" s="19"/>
      <c r="K62" s="19"/>
      <c r="L62" s="19"/>
      <c r="M62" s="19"/>
    </row>
    <row r="63">
      <c r="A63" s="96"/>
      <c r="B63" s="18" t="s">
        <v>165</v>
      </c>
      <c r="C63" s="19"/>
      <c r="D63" s="94"/>
      <c r="E63" s="94"/>
      <c r="F63" s="35">
        <v>1.99</v>
      </c>
      <c r="G63" s="12">
        <v>0.0</v>
      </c>
      <c r="H63" s="95"/>
      <c r="I63" s="19"/>
      <c r="J63" s="19"/>
      <c r="K63" s="19"/>
      <c r="L63" s="19"/>
      <c r="M63" s="19"/>
    </row>
    <row r="64">
      <c r="A64" s="98" t="s">
        <v>166</v>
      </c>
      <c r="B64" s="98"/>
      <c r="C64" s="98"/>
      <c r="D64" s="99"/>
      <c r="E64" s="100">
        <f>SUM(E7:E62)</f>
        <v>805.97</v>
      </c>
      <c r="F64" s="98">
        <f t="shared" ref="F64:G64" si="9">SUM(F2:F63)</f>
        <v>692.62</v>
      </c>
      <c r="G64" s="98">
        <f t="shared" si="9"/>
        <v>143.52</v>
      </c>
      <c r="H64" s="98"/>
      <c r="I64" s="98"/>
      <c r="J64" s="98"/>
      <c r="K64" s="98"/>
      <c r="L64" s="98"/>
      <c r="M64" s="19"/>
    </row>
    <row r="65">
      <c r="M65" s="19"/>
    </row>
    <row r="66">
      <c r="F66" s="101" t="s">
        <v>167</v>
      </c>
      <c r="G66" s="102">
        <f>F64+G64</f>
        <v>836.14</v>
      </c>
      <c r="M66" s="19"/>
    </row>
    <row r="67">
      <c r="M67" s="19"/>
    </row>
    <row r="1015">
      <c r="I1015" s="47"/>
      <c r="J1015" s="47"/>
    </row>
  </sheetData>
  <mergeCells count="2">
    <mergeCell ref="A1:J1"/>
    <mergeCell ref="A6:M6"/>
  </mergeCells>
  <dataValidations>
    <dataValidation type="list" allowBlank="1" showErrorMessage="1" sqref="J8:J58">
      <formula1>"Yes,No,Not Ordered Yet"</formula1>
    </dataValidation>
  </dataValidations>
  <hyperlinks>
    <hyperlink r:id="rId1" ref="I8"/>
    <hyperlink r:id="rId2" ref="K8"/>
    <hyperlink r:id="rId3" ref="I9"/>
    <hyperlink r:id="rId4" ref="K9"/>
    <hyperlink r:id="rId5" ref="I10"/>
    <hyperlink r:id="rId6" ref="K10"/>
    <hyperlink r:id="rId7" ref="I11"/>
    <hyperlink r:id="rId8" ref="K11"/>
    <hyperlink r:id="rId9" ref="I12"/>
    <hyperlink r:id="rId10" ref="K12"/>
    <hyperlink r:id="rId11" ref="K13"/>
    <hyperlink r:id="rId12" ref="I14"/>
    <hyperlink r:id="rId13" ref="K14"/>
    <hyperlink r:id="rId14" ref="I15"/>
    <hyperlink r:id="rId15" ref="K15"/>
    <hyperlink r:id="rId16" ref="I16"/>
    <hyperlink r:id="rId17" ref="K16"/>
    <hyperlink r:id="rId18" ref="I17"/>
    <hyperlink r:id="rId19" ref="K17"/>
    <hyperlink r:id="rId20" ref="I18"/>
    <hyperlink r:id="rId21" ref="K18"/>
    <hyperlink r:id="rId22" ref="I19"/>
    <hyperlink r:id="rId23" ref="K19"/>
    <hyperlink r:id="rId24" ref="I20"/>
    <hyperlink r:id="rId25" ref="K20"/>
    <hyperlink r:id="rId26" ref="I21"/>
    <hyperlink r:id="rId27" ref="K21"/>
    <hyperlink r:id="rId28" ref="I22"/>
    <hyperlink r:id="rId29" ref="K22"/>
    <hyperlink r:id="rId30" ref="I23"/>
    <hyperlink r:id="rId31" ref="K24"/>
    <hyperlink r:id="rId32" ref="I25"/>
    <hyperlink r:id="rId33" ref="K25"/>
    <hyperlink r:id="rId34" ref="I26"/>
    <hyperlink r:id="rId35" ref="K26"/>
    <hyperlink r:id="rId36" ref="I27"/>
    <hyperlink r:id="rId37" ref="K27"/>
    <hyperlink r:id="rId38" ref="I28"/>
    <hyperlink r:id="rId39" ref="K28"/>
    <hyperlink r:id="rId40" ref="I29"/>
    <hyperlink r:id="rId41" ref="K29"/>
    <hyperlink r:id="rId42" ref="I30"/>
    <hyperlink r:id="rId43" ref="K30"/>
    <hyperlink r:id="rId44" ref="I31"/>
    <hyperlink r:id="rId45" ref="K31"/>
    <hyperlink r:id="rId46" ref="I32"/>
    <hyperlink r:id="rId47" ref="K32"/>
    <hyperlink r:id="rId48" ref="K33"/>
    <hyperlink r:id="rId49" ref="K34"/>
    <hyperlink r:id="rId50" ref="K35"/>
    <hyperlink r:id="rId51" ref="I36"/>
    <hyperlink r:id="rId52" ref="I37"/>
    <hyperlink r:id="rId53" ref="I38"/>
    <hyperlink r:id="rId54" ref="K38"/>
    <hyperlink r:id="rId55" ref="I39"/>
    <hyperlink r:id="rId56" ref="I40"/>
    <hyperlink r:id="rId57" ref="K40"/>
    <hyperlink r:id="rId58" ref="I41"/>
    <hyperlink r:id="rId59" ref="K41"/>
    <hyperlink r:id="rId60" ref="I42"/>
    <hyperlink r:id="rId61" ref="K42"/>
    <hyperlink r:id="rId62" ref="I44"/>
    <hyperlink r:id="rId63" ref="K44"/>
    <hyperlink r:id="rId64" ref="I47"/>
    <hyperlink r:id="rId65" ref="K47"/>
    <hyperlink r:id="rId66" ref="I49"/>
    <hyperlink r:id="rId67" ref="K49"/>
    <hyperlink r:id="rId68" ref="K50"/>
    <hyperlink r:id="rId69" ref="I51"/>
    <hyperlink r:id="rId70" ref="K51"/>
    <hyperlink r:id="rId71" ref="I52"/>
    <hyperlink r:id="rId72" ref="K52"/>
    <hyperlink r:id="rId73" ref="I53"/>
    <hyperlink r:id="rId74" ref="K53"/>
    <hyperlink r:id="rId75" ref="I55"/>
    <hyperlink r:id="rId76" ref="K55"/>
    <hyperlink r:id="rId77" ref="I56"/>
    <hyperlink r:id="rId78" ref="K56"/>
    <hyperlink r:id="rId79" ref="I57"/>
    <hyperlink r:id="rId80" ref="K57"/>
    <hyperlink r:id="rId81" ref="I58"/>
    <hyperlink r:id="rId82" ref="K58"/>
  </hyperlinks>
  <printOptions gridLines="1" horizontalCentered="1"/>
  <pageMargins bottom="0.25" footer="0.0" header="0.0" left="0.25" right="0.25" top="0.25"/>
  <pageSetup fitToWidth="0" cellComments="atEnd" orientation="landscape" pageOrder="overThenDown"/>
  <drawing r:id="rId8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Col="1"/>
  <cols>
    <col customWidth="1" min="1" max="1" width="15.5"/>
    <col customWidth="1" min="2" max="2" width="30.88"/>
    <col collapsed="1" customWidth="1" min="3" max="3" width="12.25"/>
    <col hidden="1" min="4" max="5" width="12.63" outlineLevel="1"/>
    <col customWidth="1" min="6" max="6" width="9.75"/>
    <col customWidth="1" min="7" max="7" width="16.25"/>
    <col customWidth="1" min="8" max="8" width="16.5"/>
    <col customWidth="1" min="9" max="9" width="17.25"/>
    <col customWidth="1" min="10" max="10" width="9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/>
      <c r="H2" s="2"/>
      <c r="I2" s="2"/>
      <c r="J2" s="2"/>
    </row>
    <row r="3">
      <c r="A3" s="3" t="s">
        <v>7</v>
      </c>
      <c r="B3" s="3" t="s">
        <v>8</v>
      </c>
      <c r="C3" s="3" t="s">
        <v>9</v>
      </c>
      <c r="D3" s="3">
        <v>15.0</v>
      </c>
      <c r="E3" s="3" t="s">
        <v>10</v>
      </c>
      <c r="F3" s="2"/>
      <c r="G3" s="2"/>
      <c r="H3" s="2" t="s">
        <v>11</v>
      </c>
      <c r="I3" s="4">
        <f>1000</f>
        <v>1000</v>
      </c>
      <c r="J3" s="4"/>
    </row>
    <row r="4">
      <c r="A4" s="3" t="s">
        <v>12</v>
      </c>
      <c r="B4" s="3" t="s">
        <v>13</v>
      </c>
      <c r="C4" s="3" t="s">
        <v>9</v>
      </c>
      <c r="D4" s="5">
        <v>10.0</v>
      </c>
      <c r="E4" s="5" t="s">
        <v>10</v>
      </c>
      <c r="F4" s="2"/>
      <c r="G4" s="2"/>
      <c r="H4" s="2" t="s">
        <v>14</v>
      </c>
      <c r="I4" s="4">
        <f>I3-(F64)</f>
        <v>307.38</v>
      </c>
      <c r="J4" s="2"/>
    </row>
    <row r="5">
      <c r="A5" s="3" t="s">
        <v>15</v>
      </c>
      <c r="B5" s="3" t="s">
        <v>8</v>
      </c>
      <c r="C5" s="3" t="s">
        <v>9</v>
      </c>
      <c r="D5" s="3" t="s">
        <v>16</v>
      </c>
      <c r="E5" s="5" t="s">
        <v>10</v>
      </c>
      <c r="F5" s="2"/>
      <c r="G5" s="2"/>
      <c r="H5" s="2" t="s">
        <v>17</v>
      </c>
      <c r="I5" s="4">
        <f>I4-G64</f>
        <v>163.86</v>
      </c>
      <c r="J5" s="2"/>
    </row>
    <row r="6">
      <c r="A6" s="6" t="s">
        <v>168</v>
      </c>
    </row>
    <row r="7">
      <c r="A7" s="7" t="s">
        <v>19</v>
      </c>
      <c r="B7" s="7" t="s">
        <v>20</v>
      </c>
      <c r="C7" s="7" t="s">
        <v>21</v>
      </c>
      <c r="D7" s="8" t="s">
        <v>22</v>
      </c>
      <c r="E7" s="8" t="s">
        <v>23</v>
      </c>
      <c r="F7" s="8" t="s">
        <v>24</v>
      </c>
      <c r="G7" s="8" t="s">
        <v>25</v>
      </c>
      <c r="H7" s="8" t="s">
        <v>26</v>
      </c>
      <c r="I7" s="8" t="s">
        <v>27</v>
      </c>
      <c r="J7" s="8" t="s">
        <v>28</v>
      </c>
    </row>
    <row r="8">
      <c r="A8" s="9" t="s">
        <v>32</v>
      </c>
      <c r="B8" s="10" t="s">
        <v>33</v>
      </c>
      <c r="C8" s="11">
        <v>2.0</v>
      </c>
      <c r="D8" s="12">
        <v>46.74</v>
      </c>
      <c r="E8" s="13">
        <f t="shared" ref="E8:E16" si="1">C8*D8</f>
        <v>93.48</v>
      </c>
      <c r="F8" s="12">
        <v>93.48</v>
      </c>
      <c r="G8" s="12">
        <v>0.0</v>
      </c>
      <c r="H8" s="14">
        <v>45930.0</v>
      </c>
      <c r="I8" s="15" t="s">
        <v>34</v>
      </c>
      <c r="J8" s="16" t="s">
        <v>10</v>
      </c>
    </row>
    <row r="9">
      <c r="A9" s="20"/>
      <c r="B9" s="18" t="s">
        <v>37</v>
      </c>
      <c r="C9" s="21">
        <v>2.0</v>
      </c>
      <c r="D9" s="12">
        <v>6.79</v>
      </c>
      <c r="E9" s="13">
        <f t="shared" si="1"/>
        <v>13.58</v>
      </c>
      <c r="F9" s="12">
        <v>13.58</v>
      </c>
      <c r="G9" s="12">
        <v>0.0</v>
      </c>
      <c r="H9" s="14">
        <v>45930.0</v>
      </c>
      <c r="I9" s="15" t="s">
        <v>34</v>
      </c>
      <c r="J9" s="16" t="s">
        <v>10</v>
      </c>
    </row>
    <row r="10">
      <c r="A10" s="20"/>
      <c r="B10" s="18" t="s">
        <v>39</v>
      </c>
      <c r="C10" s="23">
        <v>2.0</v>
      </c>
      <c r="D10" s="12">
        <v>8.49</v>
      </c>
      <c r="E10" s="13">
        <f t="shared" si="1"/>
        <v>16.98</v>
      </c>
      <c r="F10" s="12">
        <v>16.98</v>
      </c>
      <c r="G10" s="12">
        <v>0.0</v>
      </c>
      <c r="H10" s="24">
        <v>45930.0</v>
      </c>
      <c r="I10" s="15" t="s">
        <v>34</v>
      </c>
      <c r="J10" s="16" t="s">
        <v>10</v>
      </c>
    </row>
    <row r="11">
      <c r="A11" s="20"/>
      <c r="B11" s="18" t="s">
        <v>41</v>
      </c>
      <c r="C11" s="23">
        <v>1.0</v>
      </c>
      <c r="D11" s="12">
        <v>84.99</v>
      </c>
      <c r="E11" s="13">
        <f t="shared" si="1"/>
        <v>84.99</v>
      </c>
      <c r="F11" s="12">
        <v>84.99</v>
      </c>
      <c r="G11" s="12">
        <v>0.0</v>
      </c>
      <c r="H11" s="24">
        <v>45930.0</v>
      </c>
      <c r="I11" s="15" t="s">
        <v>34</v>
      </c>
      <c r="J11" s="16" t="s">
        <v>10</v>
      </c>
    </row>
    <row r="12">
      <c r="A12" s="20"/>
      <c r="B12" s="26" t="s">
        <v>43</v>
      </c>
      <c r="C12" s="23">
        <v>2.0</v>
      </c>
      <c r="D12" s="12">
        <v>3.05</v>
      </c>
      <c r="E12" s="13">
        <f t="shared" si="1"/>
        <v>6.1</v>
      </c>
      <c r="F12" s="12">
        <v>6.1</v>
      </c>
      <c r="G12" s="12">
        <v>0.0</v>
      </c>
      <c r="H12" s="14">
        <v>45930.0</v>
      </c>
      <c r="I12" s="15" t="s">
        <v>34</v>
      </c>
      <c r="J12" s="16" t="s">
        <v>10</v>
      </c>
    </row>
    <row r="13">
      <c r="A13" s="20"/>
      <c r="B13" s="26" t="s">
        <v>45</v>
      </c>
      <c r="C13" s="23">
        <v>2.0</v>
      </c>
      <c r="D13" s="12">
        <v>18.69</v>
      </c>
      <c r="E13" s="13">
        <f t="shared" si="1"/>
        <v>37.38</v>
      </c>
      <c r="F13" s="12">
        <v>0.0</v>
      </c>
      <c r="G13" s="12">
        <v>37.38</v>
      </c>
      <c r="H13" s="24">
        <v>45930.0</v>
      </c>
      <c r="I13" s="27" t="s">
        <v>46</v>
      </c>
      <c r="J13" s="16" t="s">
        <v>10</v>
      </c>
    </row>
    <row r="14">
      <c r="A14" s="20"/>
      <c r="B14" s="28" t="s">
        <v>48</v>
      </c>
      <c r="C14" s="21">
        <v>1.0</v>
      </c>
      <c r="D14" s="13">
        <v>59.99</v>
      </c>
      <c r="E14" s="13">
        <f t="shared" si="1"/>
        <v>59.99</v>
      </c>
      <c r="F14" s="12">
        <v>59.99</v>
      </c>
      <c r="G14" s="12">
        <v>0.0</v>
      </c>
      <c r="H14" s="29">
        <v>45932.0</v>
      </c>
      <c r="I14" s="30" t="s">
        <v>49</v>
      </c>
      <c r="J14" s="16" t="s">
        <v>10</v>
      </c>
    </row>
    <row r="15">
      <c r="A15" s="20"/>
      <c r="B15" s="18" t="s">
        <v>51</v>
      </c>
      <c r="C15" s="21">
        <v>1.0</v>
      </c>
      <c r="D15" s="12">
        <v>55.24</v>
      </c>
      <c r="E15" s="13">
        <f t="shared" si="1"/>
        <v>55.24</v>
      </c>
      <c r="F15" s="12">
        <v>55.24</v>
      </c>
      <c r="G15" s="12">
        <v>0.0</v>
      </c>
      <c r="H15" s="29">
        <v>45932.0</v>
      </c>
      <c r="I15" s="30" t="s">
        <v>52</v>
      </c>
      <c r="J15" s="16" t="s">
        <v>10</v>
      </c>
    </row>
    <row r="16">
      <c r="A16" s="20"/>
      <c r="B16" s="18" t="s">
        <v>54</v>
      </c>
      <c r="C16" s="21">
        <v>1.0</v>
      </c>
      <c r="D16" s="12">
        <v>9.99</v>
      </c>
      <c r="E16" s="13">
        <f t="shared" si="1"/>
        <v>9.99</v>
      </c>
      <c r="F16" s="12">
        <v>9.82</v>
      </c>
      <c r="G16" s="12">
        <v>0.0</v>
      </c>
      <c r="H16" s="29">
        <v>45932.0</v>
      </c>
      <c r="I16" s="30" t="s">
        <v>49</v>
      </c>
      <c r="J16" s="16" t="s">
        <v>10</v>
      </c>
    </row>
    <row r="17">
      <c r="A17" s="20"/>
      <c r="B17" s="18" t="s">
        <v>57</v>
      </c>
      <c r="C17" s="23">
        <v>2.0</v>
      </c>
      <c r="D17" s="12">
        <v>3.39</v>
      </c>
      <c r="E17" s="12">
        <v>6.78</v>
      </c>
      <c r="F17" s="12">
        <v>6.78</v>
      </c>
      <c r="G17" s="12">
        <v>0.0</v>
      </c>
      <c r="H17" s="29">
        <v>45932.0</v>
      </c>
      <c r="I17" s="30" t="s">
        <v>52</v>
      </c>
      <c r="J17" s="16" t="s">
        <v>10</v>
      </c>
    </row>
    <row r="18">
      <c r="A18" s="20"/>
      <c r="B18" s="18" t="s">
        <v>59</v>
      </c>
      <c r="C18" s="23">
        <v>1.0</v>
      </c>
      <c r="D18" s="12">
        <v>3.39</v>
      </c>
      <c r="E18" s="13">
        <f t="shared" ref="E18:E22" si="2">C18*D18</f>
        <v>3.39</v>
      </c>
      <c r="F18" s="12">
        <v>3.39</v>
      </c>
      <c r="G18" s="12">
        <v>0.0</v>
      </c>
      <c r="H18" s="34">
        <v>45930.0</v>
      </c>
      <c r="I18" s="15" t="s">
        <v>34</v>
      </c>
      <c r="J18" s="16" t="s">
        <v>10</v>
      </c>
    </row>
    <row r="19">
      <c r="A19" s="20"/>
      <c r="B19" s="18" t="s">
        <v>62</v>
      </c>
      <c r="C19" s="18">
        <v>1.0</v>
      </c>
      <c r="D19" s="35">
        <v>3.39</v>
      </c>
      <c r="E19" s="13">
        <f t="shared" si="2"/>
        <v>3.39</v>
      </c>
      <c r="F19" s="12">
        <v>3.39</v>
      </c>
      <c r="G19" s="12">
        <v>0.0</v>
      </c>
      <c r="H19" s="36">
        <v>45932.0</v>
      </c>
      <c r="I19" s="37" t="s">
        <v>52</v>
      </c>
      <c r="J19" s="16" t="s">
        <v>10</v>
      </c>
    </row>
    <row r="20">
      <c r="A20" s="20"/>
      <c r="B20" s="39" t="s">
        <v>64</v>
      </c>
      <c r="C20" s="18">
        <v>2.0</v>
      </c>
      <c r="D20" s="35">
        <v>5.94</v>
      </c>
      <c r="E20" s="13">
        <f t="shared" si="2"/>
        <v>11.88</v>
      </c>
      <c r="F20" s="12">
        <v>11.88</v>
      </c>
      <c r="G20" s="12">
        <v>0.0</v>
      </c>
      <c r="H20" s="40">
        <v>45930.0</v>
      </c>
      <c r="I20" s="15" t="s">
        <v>34</v>
      </c>
      <c r="J20" s="16" t="s">
        <v>10</v>
      </c>
    </row>
    <row r="21">
      <c r="A21" s="20"/>
      <c r="B21" s="18" t="s">
        <v>66</v>
      </c>
      <c r="C21" s="18">
        <v>2.0</v>
      </c>
      <c r="D21" s="35">
        <v>11.04</v>
      </c>
      <c r="E21" s="13">
        <f t="shared" si="2"/>
        <v>22.08</v>
      </c>
      <c r="F21" s="12">
        <v>22.08</v>
      </c>
      <c r="G21" s="12">
        <v>0.0</v>
      </c>
      <c r="H21" s="40">
        <v>45930.0</v>
      </c>
      <c r="I21" s="15" t="s">
        <v>34</v>
      </c>
      <c r="J21" s="16" t="s">
        <v>10</v>
      </c>
    </row>
    <row r="22">
      <c r="A22" s="20"/>
      <c r="B22" s="18" t="s">
        <v>68</v>
      </c>
      <c r="C22" s="18">
        <v>1.0</v>
      </c>
      <c r="D22" s="35">
        <v>18.69</v>
      </c>
      <c r="E22" s="13">
        <f t="shared" si="2"/>
        <v>18.69</v>
      </c>
      <c r="F22" s="12">
        <v>18.69</v>
      </c>
      <c r="G22" s="12">
        <v>0.0</v>
      </c>
      <c r="H22" s="41">
        <v>45939.0</v>
      </c>
      <c r="I22" s="30" t="s">
        <v>69</v>
      </c>
      <c r="J22" s="16" t="s">
        <v>10</v>
      </c>
    </row>
    <row r="23">
      <c r="A23" s="20"/>
      <c r="B23" s="18" t="s">
        <v>71</v>
      </c>
      <c r="C23" s="18">
        <v>1.0</v>
      </c>
      <c r="D23" s="35">
        <v>4.99</v>
      </c>
      <c r="E23" s="12">
        <v>4.99</v>
      </c>
      <c r="F23" s="12">
        <v>4.99</v>
      </c>
      <c r="G23" s="12">
        <v>0.0</v>
      </c>
      <c r="H23" s="42">
        <v>45965.0</v>
      </c>
      <c r="I23" s="30" t="s">
        <v>72</v>
      </c>
      <c r="J23" s="16" t="s">
        <v>10</v>
      </c>
    </row>
    <row r="24">
      <c r="A24" s="20"/>
      <c r="B24" s="18" t="s">
        <v>73</v>
      </c>
      <c r="C24" s="18">
        <v>1.0</v>
      </c>
      <c r="D24" s="35">
        <v>34.95</v>
      </c>
      <c r="E24" s="12">
        <v>34.95</v>
      </c>
      <c r="F24" s="12">
        <v>0.0</v>
      </c>
      <c r="G24" s="12">
        <v>34.95</v>
      </c>
      <c r="H24" s="44">
        <v>45985.0</v>
      </c>
      <c r="I24" s="45" t="s">
        <v>74</v>
      </c>
      <c r="J24" s="16" t="s">
        <v>10</v>
      </c>
    </row>
    <row r="25">
      <c r="A25" s="46" t="s">
        <v>76</v>
      </c>
      <c r="B25" s="18" t="s">
        <v>77</v>
      </c>
      <c r="C25" s="23">
        <v>4.0</v>
      </c>
      <c r="D25" s="12">
        <v>11.04</v>
      </c>
      <c r="E25" s="13">
        <f t="shared" ref="E25:E29" si="3">C25*D25</f>
        <v>44.16</v>
      </c>
      <c r="F25" s="13">
        <v>44.16</v>
      </c>
      <c r="G25" s="12">
        <v>0.0</v>
      </c>
      <c r="H25" s="14">
        <v>45930.0</v>
      </c>
      <c r="I25" s="15" t="s">
        <v>34</v>
      </c>
      <c r="J25" s="16" t="s">
        <v>10</v>
      </c>
    </row>
    <row r="26">
      <c r="A26" s="48"/>
      <c r="B26" s="18" t="s">
        <v>79</v>
      </c>
      <c r="C26" s="23">
        <v>2.0</v>
      </c>
      <c r="D26" s="12">
        <v>2.71</v>
      </c>
      <c r="E26" s="13">
        <f t="shared" si="3"/>
        <v>5.42</v>
      </c>
      <c r="F26" s="12">
        <v>5.42</v>
      </c>
      <c r="G26" s="12">
        <v>0.0</v>
      </c>
      <c r="H26" s="14">
        <v>45930.0</v>
      </c>
      <c r="I26" s="15" t="s">
        <v>34</v>
      </c>
      <c r="J26" s="16" t="s">
        <v>10</v>
      </c>
    </row>
    <row r="27">
      <c r="A27" s="48"/>
      <c r="B27" s="18" t="s">
        <v>81</v>
      </c>
      <c r="C27" s="23">
        <v>2.0</v>
      </c>
      <c r="D27" s="12">
        <v>2.54</v>
      </c>
      <c r="E27" s="13">
        <f t="shared" si="3"/>
        <v>5.08</v>
      </c>
      <c r="F27" s="12">
        <v>5.08</v>
      </c>
      <c r="G27" s="12">
        <v>0.0</v>
      </c>
      <c r="H27" s="14">
        <v>45930.0</v>
      </c>
      <c r="I27" s="15" t="s">
        <v>34</v>
      </c>
      <c r="J27" s="16" t="s">
        <v>10</v>
      </c>
    </row>
    <row r="28">
      <c r="A28" s="48"/>
      <c r="B28" s="49" t="s">
        <v>83</v>
      </c>
      <c r="C28" s="23">
        <v>1.0</v>
      </c>
      <c r="D28" s="12">
        <v>5.99</v>
      </c>
      <c r="E28" s="13">
        <f t="shared" si="3"/>
        <v>5.99</v>
      </c>
      <c r="F28" s="12">
        <v>5.09</v>
      </c>
      <c r="G28" s="12">
        <v>0.0</v>
      </c>
      <c r="H28" s="14">
        <v>45930.0</v>
      </c>
      <c r="I28" s="15" t="s">
        <v>34</v>
      </c>
      <c r="J28" s="16" t="s">
        <v>10</v>
      </c>
    </row>
    <row r="29">
      <c r="A29" s="48"/>
      <c r="B29" s="49" t="s">
        <v>85</v>
      </c>
      <c r="C29" s="23">
        <v>2.0</v>
      </c>
      <c r="D29" s="12">
        <v>4.79</v>
      </c>
      <c r="E29" s="13">
        <f t="shared" si="3"/>
        <v>9.58</v>
      </c>
      <c r="F29" s="12">
        <v>8.14</v>
      </c>
      <c r="G29" s="12">
        <v>0.0</v>
      </c>
      <c r="H29" s="14">
        <v>45930.0</v>
      </c>
      <c r="I29" s="15" t="s">
        <v>34</v>
      </c>
      <c r="J29" s="16" t="s">
        <v>10</v>
      </c>
    </row>
    <row r="30">
      <c r="A30" s="48"/>
      <c r="B30" s="50" t="s">
        <v>87</v>
      </c>
      <c r="C30" s="23">
        <v>1.0</v>
      </c>
      <c r="D30" s="12">
        <v>8.99</v>
      </c>
      <c r="E30" s="12">
        <v>8.99</v>
      </c>
      <c r="F30" s="12">
        <v>8.99</v>
      </c>
      <c r="G30" s="12">
        <v>0.0</v>
      </c>
      <c r="H30" s="51">
        <v>45932.0</v>
      </c>
      <c r="I30" s="30" t="s">
        <v>49</v>
      </c>
      <c r="J30" s="16" t="s">
        <v>10</v>
      </c>
    </row>
    <row r="31">
      <c r="A31" s="48"/>
      <c r="B31" s="54" t="s">
        <v>90</v>
      </c>
      <c r="C31" s="23">
        <v>1.0</v>
      </c>
      <c r="D31" s="12">
        <v>6.99</v>
      </c>
      <c r="E31" s="13">
        <f t="shared" ref="E31:E32" si="4">C31*D31</f>
        <v>6.99</v>
      </c>
      <c r="F31" s="12">
        <v>6.99</v>
      </c>
      <c r="G31" s="12">
        <v>0.0</v>
      </c>
      <c r="H31" s="41">
        <v>45939.0</v>
      </c>
      <c r="I31" s="30" t="s">
        <v>69</v>
      </c>
      <c r="J31" s="16" t="s">
        <v>10</v>
      </c>
    </row>
    <row r="32">
      <c r="A32" s="48"/>
      <c r="B32" s="55" t="s">
        <v>92</v>
      </c>
      <c r="C32" s="23">
        <v>1.0</v>
      </c>
      <c r="D32" s="12">
        <v>12.99</v>
      </c>
      <c r="E32" s="13">
        <f t="shared" si="4"/>
        <v>12.99</v>
      </c>
      <c r="F32" s="12">
        <v>12.99</v>
      </c>
      <c r="G32" s="12">
        <v>0.0</v>
      </c>
      <c r="H32" s="51">
        <v>45932.0</v>
      </c>
      <c r="I32" s="30" t="s">
        <v>49</v>
      </c>
      <c r="J32" s="16" t="s">
        <v>10</v>
      </c>
    </row>
    <row r="33">
      <c r="A33" s="48"/>
      <c r="B33" s="54" t="s">
        <v>95</v>
      </c>
      <c r="C33" s="23">
        <v>1.0</v>
      </c>
      <c r="D33" s="12">
        <v>0.85</v>
      </c>
      <c r="E33" s="12">
        <v>0.85</v>
      </c>
      <c r="F33" s="12">
        <v>0.0</v>
      </c>
      <c r="G33" s="12">
        <v>0.85</v>
      </c>
      <c r="H33" s="56">
        <v>45967.0</v>
      </c>
      <c r="I33" s="27" t="s">
        <v>46</v>
      </c>
      <c r="J33" s="16" t="s">
        <v>10</v>
      </c>
    </row>
    <row r="34">
      <c r="A34" s="48"/>
      <c r="B34" s="54" t="s">
        <v>98</v>
      </c>
      <c r="C34" s="23">
        <v>7.0</v>
      </c>
      <c r="D34" s="12">
        <v>0.45</v>
      </c>
      <c r="E34" s="13">
        <f t="shared" ref="E34:E35" si="5">C34*D34</f>
        <v>3.15</v>
      </c>
      <c r="F34" s="12">
        <v>0.0</v>
      </c>
      <c r="G34" s="12">
        <f t="shared" ref="G34:G35" si="6">E34</f>
        <v>3.15</v>
      </c>
      <c r="H34" s="56">
        <v>45967.0</v>
      </c>
      <c r="I34" s="27" t="s">
        <v>46</v>
      </c>
      <c r="J34" s="16" t="s">
        <v>10</v>
      </c>
    </row>
    <row r="35">
      <c r="A35" s="48"/>
      <c r="B35" s="58" t="s">
        <v>100</v>
      </c>
      <c r="C35" s="23">
        <v>2.0</v>
      </c>
      <c r="D35" s="12">
        <v>0.44</v>
      </c>
      <c r="E35" s="13">
        <f t="shared" si="5"/>
        <v>0.88</v>
      </c>
      <c r="F35" s="12">
        <v>0.0</v>
      </c>
      <c r="G35" s="12">
        <f t="shared" si="6"/>
        <v>0.88</v>
      </c>
      <c r="H35" s="56">
        <v>45939.0</v>
      </c>
      <c r="I35" s="27" t="s">
        <v>46</v>
      </c>
      <c r="J35" s="16" t="s">
        <v>10</v>
      </c>
    </row>
    <row r="36">
      <c r="A36" s="48"/>
      <c r="B36" s="18" t="s">
        <v>104</v>
      </c>
      <c r="C36" s="18">
        <v>1.0</v>
      </c>
      <c r="D36" s="35">
        <v>6.39</v>
      </c>
      <c r="E36" s="12">
        <v>7.99</v>
      </c>
      <c r="F36" s="12">
        <v>7.99</v>
      </c>
      <c r="G36" s="12">
        <v>0.0</v>
      </c>
      <c r="H36" s="44">
        <v>45986.0</v>
      </c>
      <c r="I36" s="45" t="s">
        <v>105</v>
      </c>
      <c r="J36" s="16" t="s">
        <v>10</v>
      </c>
    </row>
    <row r="37">
      <c r="A37" s="48"/>
      <c r="B37" s="18" t="s">
        <v>106</v>
      </c>
      <c r="C37" s="18">
        <v>1.0</v>
      </c>
      <c r="D37" s="35">
        <v>15.78</v>
      </c>
      <c r="E37" s="12">
        <f t="shared" ref="E37:F37" si="7">D37</f>
        <v>15.78</v>
      </c>
      <c r="F37" s="12">
        <f t="shared" si="7"/>
        <v>15.78</v>
      </c>
      <c r="G37" s="12">
        <v>0.0</v>
      </c>
      <c r="H37" s="44">
        <v>45986.0</v>
      </c>
      <c r="I37" s="45" t="s">
        <v>107</v>
      </c>
      <c r="J37" s="16" t="s">
        <v>10</v>
      </c>
    </row>
    <row r="38">
      <c r="A38" s="48"/>
      <c r="B38" s="18" t="s">
        <v>108</v>
      </c>
      <c r="C38" s="18">
        <v>1.0</v>
      </c>
      <c r="D38" s="35">
        <v>17.99</v>
      </c>
      <c r="E38" s="13">
        <f>C38*D38</f>
        <v>17.99</v>
      </c>
      <c r="F38" s="12">
        <v>17.99</v>
      </c>
      <c r="G38" s="12">
        <v>0.0</v>
      </c>
      <c r="H38" s="59">
        <v>45958.0</v>
      </c>
      <c r="I38" s="15" t="s">
        <v>109</v>
      </c>
      <c r="J38" s="16" t="s">
        <v>10</v>
      </c>
    </row>
    <row r="39">
      <c r="A39" s="48"/>
      <c r="B39" s="18" t="s">
        <v>110</v>
      </c>
      <c r="C39" s="18">
        <v>1.0</v>
      </c>
      <c r="D39" s="35">
        <v>9.49</v>
      </c>
      <c r="E39" s="12">
        <v>9.49</v>
      </c>
      <c r="F39" s="12">
        <v>9.49</v>
      </c>
      <c r="G39" s="12">
        <v>0.0</v>
      </c>
      <c r="H39" s="42">
        <v>45965.0</v>
      </c>
      <c r="I39" s="30" t="s">
        <v>111</v>
      </c>
      <c r="J39" s="16" t="s">
        <v>10</v>
      </c>
    </row>
    <row r="40">
      <c r="A40" s="60" t="s">
        <v>112</v>
      </c>
      <c r="B40" s="18" t="s">
        <v>113</v>
      </c>
      <c r="C40" s="23">
        <v>1.0</v>
      </c>
      <c r="D40" s="12">
        <v>22.88</v>
      </c>
      <c r="E40" s="13">
        <f t="shared" ref="E40:E58" si="8">C40*D40</f>
        <v>22.88</v>
      </c>
      <c r="F40" s="12">
        <v>22.88</v>
      </c>
      <c r="G40" s="12">
        <v>0.0</v>
      </c>
      <c r="H40" s="56">
        <v>45932.0</v>
      </c>
      <c r="I40" s="30" t="s">
        <v>49</v>
      </c>
      <c r="J40" s="16" t="s">
        <v>10</v>
      </c>
    </row>
    <row r="41">
      <c r="A41" s="61"/>
      <c r="B41" s="18" t="s">
        <v>115</v>
      </c>
      <c r="C41" s="23">
        <v>1.0</v>
      </c>
      <c r="D41" s="12">
        <v>9.34</v>
      </c>
      <c r="E41" s="13">
        <f t="shared" si="8"/>
        <v>9.34</v>
      </c>
      <c r="F41" s="12">
        <v>9.34</v>
      </c>
      <c r="G41" s="12">
        <v>0.0</v>
      </c>
      <c r="H41" s="62">
        <v>45930.0</v>
      </c>
      <c r="I41" s="15" t="s">
        <v>34</v>
      </c>
      <c r="J41" s="16" t="s">
        <v>10</v>
      </c>
    </row>
    <row r="42">
      <c r="A42" s="61"/>
      <c r="B42" s="18" t="s">
        <v>117</v>
      </c>
      <c r="C42" s="23">
        <v>1.0</v>
      </c>
      <c r="D42" s="12">
        <v>3.87</v>
      </c>
      <c r="E42" s="13">
        <f t="shared" si="8"/>
        <v>3.87</v>
      </c>
      <c r="F42" s="12">
        <v>3.87</v>
      </c>
      <c r="G42" s="12">
        <v>3.87</v>
      </c>
      <c r="H42" s="64">
        <v>45932.0</v>
      </c>
      <c r="I42" s="65" t="s">
        <v>118</v>
      </c>
      <c r="J42" s="16" t="s">
        <v>10</v>
      </c>
    </row>
    <row r="43">
      <c r="A43" s="61"/>
      <c r="B43" s="18" t="s">
        <v>120</v>
      </c>
      <c r="C43" s="23">
        <v>1.0</v>
      </c>
      <c r="D43" s="12">
        <v>18.34</v>
      </c>
      <c r="E43" s="13">
        <f t="shared" si="8"/>
        <v>18.34</v>
      </c>
      <c r="F43" s="12">
        <v>0.0</v>
      </c>
      <c r="G43" s="12">
        <v>18.34</v>
      </c>
      <c r="H43" s="66"/>
      <c r="I43" s="67"/>
      <c r="J43" s="16" t="s">
        <v>10</v>
      </c>
    </row>
    <row r="44">
      <c r="A44" s="61"/>
      <c r="B44" s="18" t="s">
        <v>122</v>
      </c>
      <c r="C44" s="23">
        <v>1.0</v>
      </c>
      <c r="D44" s="12">
        <v>4.8</v>
      </c>
      <c r="E44" s="13">
        <f t="shared" si="8"/>
        <v>4.8</v>
      </c>
      <c r="F44" s="70">
        <v>4.8</v>
      </c>
      <c r="G44" s="12">
        <v>4.8</v>
      </c>
      <c r="H44" s="71">
        <v>45932.0</v>
      </c>
      <c r="I44" s="37" t="s">
        <v>118</v>
      </c>
      <c r="J44" s="16" t="s">
        <v>10</v>
      </c>
    </row>
    <row r="45">
      <c r="A45" s="61"/>
      <c r="B45" s="18" t="s">
        <v>125</v>
      </c>
      <c r="C45" s="23">
        <v>2.0</v>
      </c>
      <c r="D45" s="12">
        <v>0.59</v>
      </c>
      <c r="E45" s="13">
        <f t="shared" si="8"/>
        <v>1.18</v>
      </c>
      <c r="F45" s="12">
        <v>0.0</v>
      </c>
      <c r="G45" s="12">
        <v>1.18</v>
      </c>
      <c r="H45" s="72" t="s">
        <v>126</v>
      </c>
      <c r="I45" s="73" t="s">
        <v>127</v>
      </c>
      <c r="J45" s="16" t="s">
        <v>10</v>
      </c>
    </row>
    <row r="46">
      <c r="A46" s="61"/>
      <c r="B46" s="18" t="s">
        <v>128</v>
      </c>
      <c r="C46" s="23">
        <v>6.0</v>
      </c>
      <c r="D46" s="12">
        <v>0.5</v>
      </c>
      <c r="E46" s="12">
        <f t="shared" si="8"/>
        <v>3</v>
      </c>
      <c r="F46" s="12">
        <v>0.0</v>
      </c>
      <c r="G46" s="12">
        <v>3.0</v>
      </c>
      <c r="H46" s="75" t="s">
        <v>126</v>
      </c>
      <c r="I46" s="67" t="s">
        <v>127</v>
      </c>
      <c r="J46" s="16" t="s">
        <v>10</v>
      </c>
    </row>
    <row r="47">
      <c r="A47" s="61"/>
      <c r="B47" s="18" t="s">
        <v>129</v>
      </c>
      <c r="C47" s="23">
        <v>1.0</v>
      </c>
      <c r="D47" s="12">
        <v>8.54</v>
      </c>
      <c r="E47" s="13">
        <f t="shared" si="8"/>
        <v>8.54</v>
      </c>
      <c r="F47" s="12">
        <v>8.54</v>
      </c>
      <c r="G47" s="12">
        <v>0.0</v>
      </c>
      <c r="H47" s="51">
        <v>45932.0</v>
      </c>
      <c r="I47" s="30" t="s">
        <v>49</v>
      </c>
      <c r="J47" s="16" t="s">
        <v>10</v>
      </c>
    </row>
    <row r="48">
      <c r="A48" s="77" t="s">
        <v>130</v>
      </c>
      <c r="B48" s="26" t="s">
        <v>131</v>
      </c>
      <c r="C48" s="78">
        <v>2.0</v>
      </c>
      <c r="D48" s="79">
        <v>2.91</v>
      </c>
      <c r="E48" s="13">
        <f t="shared" si="8"/>
        <v>5.82</v>
      </c>
      <c r="F48" s="12">
        <v>0.0</v>
      </c>
      <c r="G48" s="12">
        <f>5.82*2</f>
        <v>11.64</v>
      </c>
      <c r="H48" s="80"/>
      <c r="I48" s="81"/>
      <c r="J48" s="16" t="s">
        <v>10</v>
      </c>
    </row>
    <row r="49">
      <c r="A49" s="82" t="s">
        <v>132</v>
      </c>
      <c r="B49" s="18" t="s">
        <v>133</v>
      </c>
      <c r="C49" s="18">
        <v>1.0</v>
      </c>
      <c r="D49" s="35">
        <v>13.99</v>
      </c>
      <c r="E49" s="13">
        <f t="shared" si="8"/>
        <v>13.99</v>
      </c>
      <c r="F49" s="12">
        <v>13.99</v>
      </c>
      <c r="G49" s="12">
        <v>0.0</v>
      </c>
      <c r="H49" s="83">
        <v>45965.0</v>
      </c>
      <c r="I49" s="84" t="s">
        <v>134</v>
      </c>
      <c r="J49" s="16" t="s">
        <v>10</v>
      </c>
    </row>
    <row r="50">
      <c r="A50" s="86"/>
      <c r="B50" s="18" t="s">
        <v>136</v>
      </c>
      <c r="C50" s="18">
        <v>2.0</v>
      </c>
      <c r="D50" s="35">
        <v>0.1</v>
      </c>
      <c r="E50" s="13">
        <f t="shared" si="8"/>
        <v>0.2</v>
      </c>
      <c r="F50" s="12">
        <v>0.0</v>
      </c>
      <c r="G50" s="12">
        <v>0.2</v>
      </c>
      <c r="H50" s="87">
        <v>45939.0</v>
      </c>
      <c r="I50" s="88" t="s">
        <v>137</v>
      </c>
      <c r="J50" s="16" t="s">
        <v>10</v>
      </c>
    </row>
    <row r="51" ht="18.75" customHeight="1">
      <c r="A51" s="86"/>
      <c r="B51" s="18" t="s">
        <v>139</v>
      </c>
      <c r="C51" s="18">
        <v>1.0</v>
      </c>
      <c r="D51" s="35">
        <f>0.82*4+7.99</f>
        <v>11.27</v>
      </c>
      <c r="E51" s="13">
        <f t="shared" si="8"/>
        <v>11.27</v>
      </c>
      <c r="F51" s="12">
        <v>7.99</v>
      </c>
      <c r="G51" s="12">
        <f>E51-F51</f>
        <v>3.28</v>
      </c>
      <c r="H51" s="90">
        <v>45939.0</v>
      </c>
      <c r="I51" s="30" t="s">
        <v>169</v>
      </c>
      <c r="J51" s="16" t="s">
        <v>10</v>
      </c>
    </row>
    <row r="52">
      <c r="A52" s="86"/>
      <c r="B52" s="18" t="s">
        <v>142</v>
      </c>
      <c r="C52" s="18">
        <v>1.0</v>
      </c>
      <c r="D52" s="35">
        <v>4.99</v>
      </c>
      <c r="E52" s="13">
        <f t="shared" si="8"/>
        <v>4.99</v>
      </c>
      <c r="F52" s="12">
        <v>4.99</v>
      </c>
      <c r="G52" s="12">
        <v>0.0</v>
      </c>
      <c r="H52" s="51">
        <v>45932.0</v>
      </c>
      <c r="I52" s="30" t="s">
        <v>49</v>
      </c>
      <c r="J52" s="16" t="s">
        <v>10</v>
      </c>
    </row>
    <row r="53">
      <c r="A53" s="86"/>
      <c r="B53" s="18" t="s">
        <v>145</v>
      </c>
      <c r="C53" s="18">
        <v>1.0</v>
      </c>
      <c r="D53" s="35">
        <v>8.39</v>
      </c>
      <c r="E53" s="13">
        <f t="shared" si="8"/>
        <v>8.39</v>
      </c>
      <c r="F53" s="12">
        <v>8.39</v>
      </c>
      <c r="G53" s="12">
        <v>0.0</v>
      </c>
      <c r="H53" s="51">
        <v>45932.0</v>
      </c>
      <c r="I53" s="30" t="s">
        <v>49</v>
      </c>
      <c r="J53" s="16" t="s">
        <v>10</v>
      </c>
    </row>
    <row r="54">
      <c r="A54" s="86"/>
      <c r="B54" s="18" t="s">
        <v>147</v>
      </c>
      <c r="C54" s="18">
        <v>2.0</v>
      </c>
      <c r="D54" s="35">
        <v>10.0</v>
      </c>
      <c r="E54" s="13">
        <f t="shared" si="8"/>
        <v>20</v>
      </c>
      <c r="F54" s="12">
        <v>0.0</v>
      </c>
      <c r="G54" s="12">
        <v>20.0</v>
      </c>
      <c r="H54" s="91">
        <v>45930.0</v>
      </c>
      <c r="I54" s="27" t="s">
        <v>46</v>
      </c>
      <c r="J54" s="16" t="s">
        <v>10</v>
      </c>
    </row>
    <row r="55">
      <c r="A55" s="86"/>
      <c r="B55" s="18" t="s">
        <v>148</v>
      </c>
      <c r="C55" s="18">
        <v>1.0</v>
      </c>
      <c r="D55" s="35">
        <v>3.59</v>
      </c>
      <c r="E55" s="13">
        <f t="shared" si="8"/>
        <v>3.59</v>
      </c>
      <c r="F55" s="12">
        <v>3.59</v>
      </c>
      <c r="G55" s="12">
        <v>0.0</v>
      </c>
      <c r="H55" s="93">
        <v>45937.0</v>
      </c>
      <c r="I55" s="37" t="s">
        <v>149</v>
      </c>
      <c r="J55" s="16" t="s">
        <v>10</v>
      </c>
    </row>
    <row r="56">
      <c r="A56" s="86"/>
      <c r="B56" s="18" t="s">
        <v>151</v>
      </c>
      <c r="C56" s="18">
        <v>1.0</v>
      </c>
      <c r="D56" s="35">
        <v>8.99</v>
      </c>
      <c r="E56" s="13">
        <f t="shared" si="8"/>
        <v>8.99</v>
      </c>
      <c r="F56" s="12">
        <v>8.99</v>
      </c>
      <c r="G56" s="12">
        <v>0.0</v>
      </c>
      <c r="H56" s="93">
        <v>45937.0</v>
      </c>
      <c r="I56" s="37" t="s">
        <v>149</v>
      </c>
      <c r="J56" s="16" t="s">
        <v>10</v>
      </c>
    </row>
    <row r="57">
      <c r="A57" s="86"/>
      <c r="B57" s="18" t="s">
        <v>153</v>
      </c>
      <c r="C57" s="18">
        <v>1.0</v>
      </c>
      <c r="D57" s="35">
        <v>9.99</v>
      </c>
      <c r="E57" s="13">
        <f t="shared" si="8"/>
        <v>9.99</v>
      </c>
      <c r="F57" s="12">
        <v>9.99</v>
      </c>
      <c r="G57" s="12">
        <v>0.0</v>
      </c>
      <c r="H57" s="93">
        <v>45937.0</v>
      </c>
      <c r="I57" s="37" t="s">
        <v>154</v>
      </c>
      <c r="J57" s="16" t="s">
        <v>10</v>
      </c>
    </row>
    <row r="58">
      <c r="A58" s="86"/>
      <c r="B58" s="18" t="s">
        <v>156</v>
      </c>
      <c r="C58" s="18">
        <v>1.0</v>
      </c>
      <c r="D58" s="35">
        <v>7.58</v>
      </c>
      <c r="E58" s="13">
        <f t="shared" si="8"/>
        <v>7.58</v>
      </c>
      <c r="F58" s="12">
        <v>7.58</v>
      </c>
      <c r="G58" s="12">
        <v>0.0</v>
      </c>
      <c r="H58" s="93">
        <v>45937.0</v>
      </c>
      <c r="I58" s="37" t="s">
        <v>149</v>
      </c>
      <c r="J58" s="16" t="s">
        <v>10</v>
      </c>
    </row>
    <row r="59">
      <c r="A59" s="77" t="s">
        <v>158</v>
      </c>
      <c r="B59" s="18" t="s">
        <v>159</v>
      </c>
      <c r="C59" s="19"/>
      <c r="D59" s="94"/>
      <c r="E59" s="94"/>
      <c r="F59" s="94">
        <f>11.99-5</f>
        <v>6.99</v>
      </c>
      <c r="G59" s="12">
        <v>0.0</v>
      </c>
      <c r="H59" s="95"/>
      <c r="I59" s="19"/>
      <c r="J59" s="19"/>
    </row>
    <row r="60">
      <c r="A60" s="96"/>
      <c r="B60" s="18" t="s">
        <v>161</v>
      </c>
      <c r="C60" s="19"/>
      <c r="D60" s="94"/>
      <c r="E60" s="94"/>
      <c r="F60" s="35">
        <v>0.0</v>
      </c>
      <c r="G60" s="12">
        <v>0.0</v>
      </c>
      <c r="H60" s="95"/>
      <c r="I60" s="19"/>
      <c r="J60" s="19"/>
    </row>
    <row r="61">
      <c r="A61" s="96"/>
      <c r="B61" s="18" t="s">
        <v>163</v>
      </c>
      <c r="C61" s="19"/>
      <c r="D61" s="94"/>
      <c r="E61" s="94"/>
      <c r="F61" s="35">
        <v>0.0</v>
      </c>
      <c r="G61" s="12">
        <v>0.0</v>
      </c>
      <c r="H61" s="95"/>
      <c r="I61" s="19"/>
      <c r="J61" s="19"/>
    </row>
    <row r="62">
      <c r="A62" s="96"/>
      <c r="B62" s="18" t="s">
        <v>164</v>
      </c>
      <c r="C62" s="19"/>
      <c r="D62" s="94"/>
      <c r="E62" s="94"/>
      <c r="F62" s="35">
        <v>9.21</v>
      </c>
      <c r="G62" s="12">
        <v>0.0</v>
      </c>
      <c r="H62" s="95"/>
      <c r="I62" s="19"/>
      <c r="J62" s="19"/>
    </row>
    <row r="63">
      <c r="A63" s="96"/>
      <c r="B63" s="18" t="s">
        <v>165</v>
      </c>
      <c r="C63" s="19"/>
      <c r="D63" s="94"/>
      <c r="E63" s="94"/>
      <c r="F63" s="35">
        <v>1.99</v>
      </c>
      <c r="G63" s="12">
        <v>0.0</v>
      </c>
      <c r="H63" s="95"/>
      <c r="I63" s="19"/>
      <c r="J63" s="19"/>
    </row>
    <row r="64">
      <c r="A64" s="98" t="s">
        <v>166</v>
      </c>
      <c r="B64" s="98"/>
      <c r="C64" s="98"/>
      <c r="D64" s="99"/>
      <c r="E64" s="100">
        <f>SUM(E7:E62)</f>
        <v>805.97</v>
      </c>
      <c r="F64" s="98">
        <f t="shared" ref="F64:G64" si="9">SUM(F2:F63)</f>
        <v>692.62</v>
      </c>
      <c r="G64" s="98">
        <f t="shared" si="9"/>
        <v>143.52</v>
      </c>
      <c r="H64" s="98"/>
      <c r="I64" s="98"/>
      <c r="J64" s="98"/>
    </row>
    <row r="66">
      <c r="F66" s="101" t="s">
        <v>167</v>
      </c>
      <c r="G66" s="102">
        <f>F64+G64</f>
        <v>836.14</v>
      </c>
    </row>
    <row r="1015">
      <c r="I1015" s="47"/>
      <c r="J1015" s="47"/>
    </row>
  </sheetData>
  <mergeCells count="2">
    <mergeCell ref="A1:J1"/>
    <mergeCell ref="A6:J6"/>
  </mergeCells>
  <dataValidations>
    <dataValidation type="list" allowBlank="1" showErrorMessage="1" sqref="J8:J58">
      <formula1>"Yes,No,Not Ordered Yet"</formula1>
    </dataValidation>
  </dataValidations>
  <hyperlinks>
    <hyperlink r:id="rId1" ref="I8"/>
    <hyperlink r:id="rId2" ref="I9"/>
    <hyperlink r:id="rId3" ref="I10"/>
    <hyperlink r:id="rId4" ref="I11"/>
    <hyperlink r:id="rId5" ref="I12"/>
    <hyperlink r:id="rId6" ref="I14"/>
    <hyperlink r:id="rId7" ref="I15"/>
    <hyperlink r:id="rId8" ref="I16"/>
    <hyperlink r:id="rId9" ref="I17"/>
    <hyperlink r:id="rId10" ref="I18"/>
    <hyperlink r:id="rId11" ref="I19"/>
    <hyperlink r:id="rId12" ref="I20"/>
    <hyperlink r:id="rId13" ref="I21"/>
    <hyperlink r:id="rId14" ref="I22"/>
    <hyperlink r:id="rId15" ref="I23"/>
    <hyperlink r:id="rId16" ref="I25"/>
    <hyperlink r:id="rId17" ref="I26"/>
    <hyperlink r:id="rId18" ref="I27"/>
    <hyperlink r:id="rId19" ref="I28"/>
    <hyperlink r:id="rId20" ref="I29"/>
    <hyperlink r:id="rId21" ref="I30"/>
    <hyperlink r:id="rId22" ref="I31"/>
    <hyperlink r:id="rId23" ref="I32"/>
    <hyperlink r:id="rId24" ref="I36"/>
    <hyperlink r:id="rId25" ref="I37"/>
    <hyperlink r:id="rId26" ref="I38"/>
    <hyperlink r:id="rId27" ref="I39"/>
    <hyperlink r:id="rId28" ref="I40"/>
    <hyperlink r:id="rId29" ref="I41"/>
    <hyperlink r:id="rId30" ref="I42"/>
    <hyperlink r:id="rId31" ref="I44"/>
    <hyperlink r:id="rId32" ref="I47"/>
    <hyperlink r:id="rId33" ref="I49"/>
    <hyperlink r:id="rId34" ref="I51"/>
    <hyperlink r:id="rId35" ref="I52"/>
    <hyperlink r:id="rId36" ref="I53"/>
    <hyperlink r:id="rId37" ref="I55"/>
    <hyperlink r:id="rId38" ref="I56"/>
    <hyperlink r:id="rId39" ref="I57"/>
    <hyperlink r:id="rId40" ref="I58"/>
  </hyperlinks>
  <printOptions gridLines="1" horizontalCentered="1"/>
  <pageMargins bottom="1.5" footer="0.0" header="0.0" left="0.1" right="0.1" top="1.5"/>
  <pageSetup fitToHeight="0" cellComments="atEnd" orientation="portrait" pageOrder="overThenDown"/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40.5"/>
    <col customWidth="1" min="6" max="6" width="64.75"/>
    <col customWidth="1" min="7" max="7" width="17.38"/>
    <col customWidth="1" min="8" max="8" width="23.38"/>
  </cols>
  <sheetData>
    <row r="1">
      <c r="A1" s="6" t="s">
        <v>18</v>
      </c>
    </row>
    <row r="2">
      <c r="A2" s="7" t="s">
        <v>19</v>
      </c>
      <c r="B2" s="7" t="s">
        <v>20</v>
      </c>
      <c r="C2" s="7" t="s">
        <v>21</v>
      </c>
      <c r="D2" s="7" t="s">
        <v>170</v>
      </c>
      <c r="E2" s="7" t="s">
        <v>24</v>
      </c>
      <c r="F2" s="7" t="s">
        <v>29</v>
      </c>
      <c r="G2" s="8" t="s">
        <v>30</v>
      </c>
      <c r="H2" s="7" t="s">
        <v>31</v>
      </c>
      <c r="I2" s="103" t="s">
        <v>171</v>
      </c>
      <c r="J2" s="103"/>
    </row>
    <row r="3">
      <c r="A3" s="9" t="s">
        <v>32</v>
      </c>
      <c r="B3" s="10" t="s">
        <v>33</v>
      </c>
      <c r="C3" s="11">
        <v>2.0</v>
      </c>
      <c r="D3" s="13">
        <v>54.99</v>
      </c>
      <c r="E3" s="13">
        <f t="shared" ref="E3:E22" si="1">C3*D3</f>
        <v>109.98</v>
      </c>
      <c r="F3" s="17" t="s">
        <v>35</v>
      </c>
      <c r="G3" s="18" t="s">
        <v>36</v>
      </c>
      <c r="H3" s="19"/>
      <c r="I3" s="53" t="s">
        <v>172</v>
      </c>
    </row>
    <row r="4">
      <c r="A4" s="20"/>
      <c r="B4" s="18" t="s">
        <v>37</v>
      </c>
      <c r="C4" s="21">
        <v>2.0</v>
      </c>
      <c r="D4" s="13">
        <v>7.99</v>
      </c>
      <c r="E4" s="13">
        <f t="shared" si="1"/>
        <v>15.98</v>
      </c>
      <c r="F4" s="22" t="s">
        <v>38</v>
      </c>
      <c r="G4" s="18" t="s">
        <v>36</v>
      </c>
      <c r="H4" s="19"/>
      <c r="I4" s="53" t="s">
        <v>172</v>
      </c>
      <c r="J4" s="53">
        <v>2.0</v>
      </c>
    </row>
    <row r="5">
      <c r="A5" s="20"/>
      <c r="B5" s="18" t="s">
        <v>39</v>
      </c>
      <c r="C5" s="23">
        <v>2.0</v>
      </c>
      <c r="D5" s="12">
        <v>9.99</v>
      </c>
      <c r="E5" s="13">
        <f t="shared" si="1"/>
        <v>19.98</v>
      </c>
      <c r="F5" s="25" t="s">
        <v>40</v>
      </c>
      <c r="G5" s="18" t="s">
        <v>36</v>
      </c>
      <c r="H5" s="19"/>
      <c r="I5" s="53" t="s">
        <v>172</v>
      </c>
    </row>
    <row r="6">
      <c r="A6" s="20"/>
      <c r="B6" s="18" t="s">
        <v>41</v>
      </c>
      <c r="C6" s="23">
        <v>1.0</v>
      </c>
      <c r="D6" s="12">
        <v>99.99</v>
      </c>
      <c r="E6" s="13">
        <f t="shared" si="1"/>
        <v>99.99</v>
      </c>
      <c r="F6" s="25" t="s">
        <v>42</v>
      </c>
      <c r="G6" s="18" t="s">
        <v>36</v>
      </c>
      <c r="H6" s="19"/>
      <c r="I6" s="53" t="s">
        <v>172</v>
      </c>
      <c r="J6" s="53">
        <v>1.0</v>
      </c>
    </row>
    <row r="7">
      <c r="A7" s="20"/>
      <c r="B7" s="26" t="s">
        <v>43</v>
      </c>
      <c r="C7" s="23">
        <v>2.0</v>
      </c>
      <c r="D7" s="12">
        <v>3.59</v>
      </c>
      <c r="E7" s="13">
        <f t="shared" si="1"/>
        <v>7.18</v>
      </c>
      <c r="F7" s="47" t="s">
        <v>44</v>
      </c>
      <c r="G7" s="18" t="s">
        <v>36</v>
      </c>
      <c r="H7" s="19"/>
      <c r="I7" s="53" t="s">
        <v>172</v>
      </c>
      <c r="J7" s="53">
        <v>2.0</v>
      </c>
    </row>
    <row r="8">
      <c r="A8" s="20"/>
      <c r="B8" s="26" t="s">
        <v>173</v>
      </c>
      <c r="C8" s="23">
        <v>2.0</v>
      </c>
      <c r="D8" s="12">
        <v>21.99</v>
      </c>
      <c r="E8" s="13">
        <f t="shared" si="1"/>
        <v>43.98</v>
      </c>
      <c r="F8" s="25" t="s">
        <v>47</v>
      </c>
      <c r="G8" s="18" t="s">
        <v>36</v>
      </c>
      <c r="H8" s="19"/>
      <c r="I8" s="53" t="s">
        <v>174</v>
      </c>
    </row>
    <row r="9">
      <c r="A9" s="20"/>
      <c r="B9" s="28" t="s">
        <v>48</v>
      </c>
      <c r="C9" s="21">
        <v>1.0</v>
      </c>
      <c r="D9" s="13">
        <v>59.99</v>
      </c>
      <c r="E9" s="13">
        <f t="shared" si="1"/>
        <v>59.99</v>
      </c>
      <c r="F9" s="31" t="s">
        <v>50</v>
      </c>
      <c r="G9" s="32" t="s">
        <v>36</v>
      </c>
      <c r="H9" s="19"/>
      <c r="I9" s="53" t="s">
        <v>174</v>
      </c>
    </row>
    <row r="10">
      <c r="A10" s="20"/>
      <c r="B10" s="32" t="s">
        <v>175</v>
      </c>
      <c r="C10" s="21">
        <v>1.0</v>
      </c>
      <c r="D10" s="13">
        <v>23.99</v>
      </c>
      <c r="E10" s="13">
        <f t="shared" si="1"/>
        <v>23.99</v>
      </c>
      <c r="F10" s="31" t="s">
        <v>176</v>
      </c>
      <c r="G10" s="32" t="s">
        <v>36</v>
      </c>
      <c r="H10" s="19"/>
      <c r="I10" s="53" t="s">
        <v>174</v>
      </c>
    </row>
    <row r="11">
      <c r="A11" s="20"/>
      <c r="B11" s="32" t="s">
        <v>177</v>
      </c>
      <c r="C11" s="21">
        <v>1.0</v>
      </c>
      <c r="D11" s="13">
        <v>7.99</v>
      </c>
      <c r="E11" s="13">
        <f t="shared" si="1"/>
        <v>7.99</v>
      </c>
      <c r="F11" s="31" t="s">
        <v>178</v>
      </c>
      <c r="G11" s="32" t="s">
        <v>56</v>
      </c>
      <c r="H11" s="19"/>
      <c r="I11" s="53" t="s">
        <v>174</v>
      </c>
    </row>
    <row r="12">
      <c r="A12" s="20"/>
      <c r="B12" s="32" t="s">
        <v>179</v>
      </c>
      <c r="C12" s="21">
        <v>1.0</v>
      </c>
      <c r="D12" s="12">
        <v>9.99</v>
      </c>
      <c r="E12" s="13">
        <f t="shared" si="1"/>
        <v>9.99</v>
      </c>
      <c r="F12" s="33" t="s">
        <v>55</v>
      </c>
      <c r="G12" s="32" t="s">
        <v>56</v>
      </c>
      <c r="H12" s="19"/>
      <c r="I12" s="53" t="s">
        <v>174</v>
      </c>
    </row>
    <row r="13">
      <c r="A13" s="20"/>
      <c r="B13" s="18" t="s">
        <v>59</v>
      </c>
      <c r="C13" s="23">
        <v>1.0</v>
      </c>
      <c r="D13" s="12">
        <v>3.99</v>
      </c>
      <c r="E13" s="13">
        <f t="shared" si="1"/>
        <v>3.99</v>
      </c>
      <c r="F13" s="52" t="s">
        <v>60</v>
      </c>
      <c r="G13" s="18" t="s">
        <v>36</v>
      </c>
      <c r="H13" s="18" t="s">
        <v>61</v>
      </c>
      <c r="I13" s="53" t="s">
        <v>172</v>
      </c>
      <c r="J13" s="53">
        <v>1.0</v>
      </c>
    </row>
    <row r="14">
      <c r="A14" s="20"/>
      <c r="B14" s="18" t="s">
        <v>62</v>
      </c>
      <c r="C14" s="18">
        <v>1.0</v>
      </c>
      <c r="D14" s="35">
        <v>8.99</v>
      </c>
      <c r="E14" s="13">
        <f t="shared" si="1"/>
        <v>8.99</v>
      </c>
      <c r="F14" s="38" t="s">
        <v>180</v>
      </c>
      <c r="G14" s="18" t="s">
        <v>36</v>
      </c>
      <c r="H14" s="18" t="s">
        <v>61</v>
      </c>
      <c r="I14" s="53" t="s">
        <v>174</v>
      </c>
    </row>
    <row r="15">
      <c r="A15" s="20"/>
      <c r="B15" s="39" t="s">
        <v>64</v>
      </c>
      <c r="C15" s="18">
        <v>2.0</v>
      </c>
      <c r="D15" s="35">
        <v>6.99</v>
      </c>
      <c r="E15" s="13">
        <f t="shared" si="1"/>
        <v>13.98</v>
      </c>
      <c r="F15" s="38" t="s">
        <v>65</v>
      </c>
      <c r="G15" s="18" t="s">
        <v>36</v>
      </c>
      <c r="H15" s="19"/>
      <c r="I15" s="53" t="s">
        <v>172</v>
      </c>
      <c r="J15" s="53">
        <v>2.0</v>
      </c>
    </row>
    <row r="16">
      <c r="A16" s="20"/>
      <c r="B16" s="18" t="s">
        <v>66</v>
      </c>
      <c r="C16" s="18">
        <v>2.0</v>
      </c>
      <c r="D16" s="35">
        <v>12.99</v>
      </c>
      <c r="E16" s="13">
        <f t="shared" si="1"/>
        <v>25.98</v>
      </c>
      <c r="F16" s="38" t="s">
        <v>67</v>
      </c>
      <c r="G16" s="18" t="s">
        <v>36</v>
      </c>
      <c r="H16" s="19"/>
      <c r="I16" s="53" t="s">
        <v>172</v>
      </c>
      <c r="J16" s="53">
        <v>2.0</v>
      </c>
    </row>
    <row r="17">
      <c r="A17" s="46" t="s">
        <v>76</v>
      </c>
      <c r="B17" s="18" t="s">
        <v>77</v>
      </c>
      <c r="C17" s="23">
        <v>4.0</v>
      </c>
      <c r="D17" s="12">
        <v>12.99</v>
      </c>
      <c r="E17" s="13">
        <f t="shared" si="1"/>
        <v>51.96</v>
      </c>
      <c r="F17" s="47" t="s">
        <v>78</v>
      </c>
      <c r="G17" s="18" t="s">
        <v>56</v>
      </c>
      <c r="H17" s="19"/>
      <c r="I17" s="53" t="s">
        <v>172</v>
      </c>
      <c r="J17" s="53">
        <v>4.0</v>
      </c>
    </row>
    <row r="18">
      <c r="A18" s="48"/>
      <c r="B18" s="18" t="s">
        <v>79</v>
      </c>
      <c r="C18" s="23">
        <v>2.0</v>
      </c>
      <c r="D18" s="12">
        <v>3.19</v>
      </c>
      <c r="E18" s="13">
        <f t="shared" si="1"/>
        <v>6.38</v>
      </c>
      <c r="F18" s="47" t="s">
        <v>80</v>
      </c>
      <c r="G18" s="18" t="s">
        <v>56</v>
      </c>
      <c r="H18" s="19"/>
      <c r="I18" s="53" t="s">
        <v>172</v>
      </c>
      <c r="J18" s="53">
        <v>2.0</v>
      </c>
    </row>
    <row r="19">
      <c r="A19" s="48"/>
      <c r="B19" s="49" t="s">
        <v>83</v>
      </c>
      <c r="C19" s="23">
        <v>1.0</v>
      </c>
      <c r="D19" s="12">
        <v>5.99</v>
      </c>
      <c r="E19" s="13">
        <f t="shared" si="1"/>
        <v>5.99</v>
      </c>
      <c r="F19" s="47" t="s">
        <v>84</v>
      </c>
      <c r="G19" s="18" t="s">
        <v>56</v>
      </c>
      <c r="H19" s="19"/>
      <c r="I19" s="53" t="s">
        <v>172</v>
      </c>
      <c r="J19" s="53">
        <v>2.0</v>
      </c>
    </row>
    <row r="20">
      <c r="A20" s="48"/>
      <c r="B20" s="49" t="s">
        <v>85</v>
      </c>
      <c r="C20" s="23">
        <v>2.0</v>
      </c>
      <c r="D20" s="12">
        <v>4.79</v>
      </c>
      <c r="E20" s="13">
        <f t="shared" si="1"/>
        <v>9.58</v>
      </c>
      <c r="F20" s="47" t="s">
        <v>86</v>
      </c>
      <c r="G20" s="18" t="s">
        <v>56</v>
      </c>
      <c r="H20" s="19"/>
      <c r="I20" s="53" t="s">
        <v>172</v>
      </c>
    </row>
    <row r="21">
      <c r="A21" s="48"/>
      <c r="B21" s="55" t="s">
        <v>92</v>
      </c>
      <c r="C21" s="23">
        <v>1.0</v>
      </c>
      <c r="D21" s="12">
        <v>11.92</v>
      </c>
      <c r="E21" s="13">
        <f t="shared" si="1"/>
        <v>11.92</v>
      </c>
      <c r="F21" s="52" t="s">
        <v>181</v>
      </c>
      <c r="G21" s="18" t="s">
        <v>94</v>
      </c>
      <c r="H21" s="19"/>
      <c r="I21" s="53" t="s">
        <v>174</v>
      </c>
    </row>
    <row r="22">
      <c r="A22" s="48"/>
      <c r="B22" s="18" t="s">
        <v>81</v>
      </c>
      <c r="C22" s="23">
        <v>2.0</v>
      </c>
      <c r="D22" s="12">
        <v>2.19</v>
      </c>
      <c r="E22" s="13">
        <f t="shared" si="1"/>
        <v>4.38</v>
      </c>
      <c r="F22" s="47" t="s">
        <v>82</v>
      </c>
      <c r="G22" s="18" t="s">
        <v>56</v>
      </c>
      <c r="H22" s="19"/>
      <c r="I22" s="53" t="s">
        <v>172</v>
      </c>
      <c r="J22" s="53">
        <v>2.0</v>
      </c>
    </row>
    <row r="23">
      <c r="A23" s="60" t="s">
        <v>112</v>
      </c>
      <c r="B23" s="19"/>
      <c r="C23" s="11"/>
      <c r="D23" s="13"/>
      <c r="E23" s="13"/>
      <c r="F23" s="19"/>
      <c r="G23" s="19"/>
      <c r="H23" s="19"/>
    </row>
    <row r="24">
      <c r="A24" s="60"/>
      <c r="B24" s="18" t="s">
        <v>182</v>
      </c>
      <c r="C24" s="23">
        <v>1.0</v>
      </c>
      <c r="D24" s="12">
        <v>27.99</v>
      </c>
      <c r="E24" s="13">
        <f t="shared" ref="E24:E30" si="2">C24*D24</f>
        <v>27.99</v>
      </c>
      <c r="F24" s="25" t="s">
        <v>183</v>
      </c>
      <c r="G24" s="18" t="s">
        <v>56</v>
      </c>
      <c r="H24" s="19"/>
      <c r="I24" s="53" t="s">
        <v>174</v>
      </c>
    </row>
    <row r="25">
      <c r="A25" s="61"/>
      <c r="B25" s="18" t="s">
        <v>115</v>
      </c>
      <c r="C25" s="23">
        <v>1.0</v>
      </c>
      <c r="D25" s="12">
        <v>9.99</v>
      </c>
      <c r="E25" s="13">
        <f t="shared" si="2"/>
        <v>9.99</v>
      </c>
      <c r="F25" s="63" t="s">
        <v>116</v>
      </c>
      <c r="G25" s="18" t="s">
        <v>56</v>
      </c>
      <c r="H25" s="19"/>
      <c r="I25" s="53" t="s">
        <v>172</v>
      </c>
      <c r="J25" s="53">
        <v>1.0</v>
      </c>
    </row>
    <row r="26">
      <c r="A26" s="61"/>
      <c r="B26" s="18" t="s">
        <v>117</v>
      </c>
      <c r="C26" s="23">
        <v>1.0</v>
      </c>
      <c r="D26" s="12">
        <v>3.87</v>
      </c>
      <c r="E26" s="13">
        <f t="shared" si="2"/>
        <v>3.87</v>
      </c>
      <c r="F26" s="57" t="s">
        <v>184</v>
      </c>
      <c r="G26" s="18" t="s">
        <v>56</v>
      </c>
      <c r="H26" s="19"/>
      <c r="I26" s="53" t="s">
        <v>174</v>
      </c>
    </row>
    <row r="27">
      <c r="A27" s="61"/>
      <c r="B27" s="18" t="s">
        <v>185</v>
      </c>
      <c r="C27" s="23">
        <v>1.0</v>
      </c>
      <c r="D27" s="12">
        <v>25.0</v>
      </c>
      <c r="E27" s="13">
        <f t="shared" si="2"/>
        <v>25</v>
      </c>
      <c r="F27" s="68" t="s">
        <v>186</v>
      </c>
      <c r="G27" s="18" t="s">
        <v>121</v>
      </c>
      <c r="H27" s="69" t="s">
        <v>187</v>
      </c>
      <c r="I27" s="53" t="s">
        <v>174</v>
      </c>
    </row>
    <row r="28">
      <c r="A28" s="61"/>
      <c r="B28" s="18" t="s">
        <v>188</v>
      </c>
      <c r="C28" s="23">
        <v>1.0</v>
      </c>
      <c r="D28" s="12">
        <v>4.8</v>
      </c>
      <c r="E28" s="13">
        <f t="shared" si="2"/>
        <v>4.8</v>
      </c>
      <c r="F28" s="63" t="s">
        <v>123</v>
      </c>
      <c r="G28" s="18" t="s">
        <v>124</v>
      </c>
      <c r="H28" s="19"/>
      <c r="I28" s="53" t="s">
        <v>174</v>
      </c>
    </row>
    <row r="29">
      <c r="A29" s="61"/>
      <c r="B29" s="18" t="s">
        <v>189</v>
      </c>
      <c r="C29" s="23">
        <v>1.0</v>
      </c>
      <c r="D29" s="12">
        <v>8.54</v>
      </c>
      <c r="E29" s="13">
        <f t="shared" si="2"/>
        <v>8.54</v>
      </c>
      <c r="F29" s="25" t="s">
        <v>190</v>
      </c>
      <c r="G29" s="18" t="s">
        <v>124</v>
      </c>
      <c r="H29" s="19"/>
      <c r="I29" s="53" t="s">
        <v>174</v>
      </c>
    </row>
    <row r="30">
      <c r="A30" s="77" t="s">
        <v>130</v>
      </c>
      <c r="B30" s="26" t="s">
        <v>131</v>
      </c>
      <c r="C30" s="78">
        <v>2.0</v>
      </c>
      <c r="D30" s="104">
        <f>25</f>
        <v>25</v>
      </c>
      <c r="E30" s="13">
        <f t="shared" si="2"/>
        <v>50</v>
      </c>
      <c r="F30" s="10"/>
      <c r="G30" s="10"/>
      <c r="H30" s="19"/>
      <c r="I30" s="53" t="s">
        <v>174</v>
      </c>
    </row>
    <row r="31">
      <c r="A31" s="82" t="s">
        <v>132</v>
      </c>
      <c r="B31" s="19"/>
      <c r="C31" s="19"/>
      <c r="D31" s="94"/>
      <c r="E31" s="13"/>
      <c r="F31" s="19"/>
      <c r="G31" s="19"/>
      <c r="H31" s="19"/>
    </row>
    <row r="32">
      <c r="A32" s="86"/>
      <c r="B32" s="18" t="s">
        <v>133</v>
      </c>
      <c r="C32" s="18">
        <v>2.0</v>
      </c>
      <c r="D32" s="35">
        <v>0.4</v>
      </c>
      <c r="E32" s="13">
        <f t="shared" ref="E32:E36" si="3">C32*D32</f>
        <v>0.8</v>
      </c>
      <c r="F32" s="85" t="s">
        <v>135</v>
      </c>
      <c r="G32" s="18" t="s">
        <v>56</v>
      </c>
      <c r="H32" s="19"/>
      <c r="I32" s="53" t="s">
        <v>174</v>
      </c>
    </row>
    <row r="33">
      <c r="A33" s="86"/>
      <c r="B33" s="18" t="s">
        <v>136</v>
      </c>
      <c r="C33" s="18">
        <v>2.0</v>
      </c>
      <c r="D33" s="35">
        <v>0.1</v>
      </c>
      <c r="E33" s="13">
        <f t="shared" si="3"/>
        <v>0.2</v>
      </c>
      <c r="F33" s="89" t="s">
        <v>138</v>
      </c>
      <c r="G33" s="18" t="s">
        <v>56</v>
      </c>
      <c r="H33" s="19"/>
      <c r="I33" s="53" t="s">
        <v>174</v>
      </c>
    </row>
    <row r="34">
      <c r="A34" s="86"/>
      <c r="B34" s="18" t="s">
        <v>139</v>
      </c>
      <c r="C34" s="18">
        <v>4.0</v>
      </c>
      <c r="D34" s="35">
        <v>0.82</v>
      </c>
      <c r="E34" s="13">
        <f t="shared" si="3"/>
        <v>3.28</v>
      </c>
      <c r="F34" s="85" t="s">
        <v>191</v>
      </c>
      <c r="G34" s="18" t="s">
        <v>56</v>
      </c>
      <c r="H34" s="19"/>
      <c r="I34" s="53" t="s">
        <v>174</v>
      </c>
    </row>
    <row r="35">
      <c r="A35" s="86"/>
      <c r="B35" s="18" t="s">
        <v>142</v>
      </c>
      <c r="C35" s="18">
        <v>1.0</v>
      </c>
      <c r="D35" s="35">
        <v>12.99</v>
      </c>
      <c r="E35" s="13">
        <f t="shared" si="3"/>
        <v>12.99</v>
      </c>
      <c r="F35" s="85" t="s">
        <v>192</v>
      </c>
      <c r="G35" s="18" t="s">
        <v>144</v>
      </c>
      <c r="H35" s="19"/>
      <c r="I35" s="53" t="s">
        <v>174</v>
      </c>
    </row>
    <row r="36">
      <c r="A36" s="86"/>
      <c r="B36" s="18" t="s">
        <v>193</v>
      </c>
      <c r="C36" s="18">
        <v>1.0</v>
      </c>
      <c r="D36" s="35">
        <v>30.0</v>
      </c>
      <c r="E36" s="13">
        <f t="shared" si="3"/>
        <v>30</v>
      </c>
      <c r="F36" s="85" t="s">
        <v>194</v>
      </c>
      <c r="G36" s="18"/>
      <c r="H36" s="19"/>
      <c r="I36" s="53" t="s">
        <v>174</v>
      </c>
    </row>
    <row r="37">
      <c r="A37" s="86"/>
      <c r="B37" s="18" t="s">
        <v>195</v>
      </c>
      <c r="C37" s="18"/>
      <c r="D37" s="35"/>
      <c r="E37" s="13"/>
      <c r="F37" s="18"/>
      <c r="G37" s="18"/>
      <c r="H37" s="19"/>
      <c r="I37" s="53" t="s">
        <v>174</v>
      </c>
    </row>
    <row r="38">
      <c r="A38" s="86"/>
      <c r="B38" s="18" t="s">
        <v>147</v>
      </c>
      <c r="C38" s="18">
        <v>2.0</v>
      </c>
      <c r="D38" s="35">
        <v>20.0</v>
      </c>
      <c r="E38" s="13">
        <f t="shared" ref="E38:E40" si="4">C38*D38</f>
        <v>40</v>
      </c>
      <c r="F38" s="92" t="s">
        <v>196</v>
      </c>
      <c r="G38" s="18" t="s">
        <v>56</v>
      </c>
      <c r="H38" s="19"/>
      <c r="I38" s="53" t="s">
        <v>174</v>
      </c>
    </row>
    <row r="39">
      <c r="A39" s="86"/>
      <c r="B39" s="18" t="s">
        <v>197</v>
      </c>
      <c r="C39" s="18">
        <v>1.0</v>
      </c>
      <c r="D39" s="35">
        <v>4.99</v>
      </c>
      <c r="E39" s="13">
        <f t="shared" si="4"/>
        <v>4.99</v>
      </c>
      <c r="F39" s="89" t="s">
        <v>198</v>
      </c>
      <c r="G39" s="18"/>
      <c r="H39" s="19"/>
      <c r="I39" s="53" t="s">
        <v>174</v>
      </c>
    </row>
    <row r="40">
      <c r="A40" s="86"/>
      <c r="B40" s="18" t="s">
        <v>199</v>
      </c>
      <c r="C40" s="18">
        <v>1.0</v>
      </c>
      <c r="D40" s="35">
        <v>18.99</v>
      </c>
      <c r="E40" s="13">
        <f t="shared" si="4"/>
        <v>18.99</v>
      </c>
      <c r="F40" s="105" t="s">
        <v>200</v>
      </c>
      <c r="G40" s="18" t="s">
        <v>56</v>
      </c>
      <c r="H40" s="19"/>
      <c r="I40" s="53" t="s">
        <v>174</v>
      </c>
    </row>
    <row r="41">
      <c r="A41" s="19"/>
      <c r="B41" s="19"/>
      <c r="C41" s="19"/>
      <c r="D41" s="94"/>
      <c r="E41" s="94"/>
      <c r="F41" s="19"/>
      <c r="G41" s="19"/>
      <c r="H41" s="19"/>
    </row>
    <row r="42">
      <c r="A42" s="98" t="s">
        <v>166</v>
      </c>
      <c r="B42" s="98"/>
      <c r="C42" s="98"/>
      <c r="D42" s="99"/>
      <c r="E42" s="100">
        <f>SUM(E2:E40)</f>
        <v>783.64</v>
      </c>
      <c r="F42" s="98"/>
      <c r="G42" s="98"/>
      <c r="H42" s="19"/>
    </row>
    <row r="43">
      <c r="H43" s="19"/>
    </row>
    <row r="44">
      <c r="H44" s="19"/>
    </row>
    <row r="45">
      <c r="H45" s="19"/>
    </row>
  </sheetData>
  <mergeCells count="1">
    <mergeCell ref="A1:H1"/>
  </mergeCells>
  <dataValidations>
    <dataValidation type="list" allowBlank="1" showErrorMessage="1" sqref="I3:I22 I24:I30 I32:I40">
      <formula1>"NOT YET ,ORDERED,SHIPPED,ARRIVED"</formula1>
    </dataValidation>
  </dataValidation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4"/>
    <hyperlink r:id="rId22" ref="F25"/>
    <hyperlink r:id="rId23" ref="F26"/>
    <hyperlink r:id="rId24" ref="F28"/>
    <hyperlink r:id="rId25" ref="F29"/>
    <hyperlink r:id="rId26" ref="F32"/>
    <hyperlink r:id="rId27" ref="F33"/>
    <hyperlink r:id="rId28" ref="F34"/>
    <hyperlink r:id="rId29" ref="F35"/>
    <hyperlink r:id="rId30" ref="F36"/>
    <hyperlink r:id="rId31" ref="F39"/>
    <hyperlink r:id="rId32" ref="F40"/>
  </hyperlinks>
  <drawing r:id="rId3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4.75"/>
    <col customWidth="1" min="6" max="6" width="64.75"/>
    <col customWidth="1" min="7" max="7" width="17.38"/>
    <col customWidth="1" min="8" max="8" width="23.38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/>
      <c r="H2" s="2"/>
    </row>
    <row r="3">
      <c r="A3" s="3" t="s">
        <v>7</v>
      </c>
      <c r="B3" s="3" t="s">
        <v>8</v>
      </c>
      <c r="C3" s="3" t="s">
        <v>9</v>
      </c>
      <c r="D3" s="3">
        <v>15.0</v>
      </c>
      <c r="E3" s="3" t="s">
        <v>201</v>
      </c>
      <c r="F3" s="2"/>
      <c r="G3" s="2"/>
      <c r="H3" s="2"/>
    </row>
    <row r="4">
      <c r="A4" s="3" t="s">
        <v>12</v>
      </c>
      <c r="B4" s="3" t="s">
        <v>13</v>
      </c>
      <c r="C4" s="3" t="s">
        <v>9</v>
      </c>
      <c r="D4" s="3" t="s">
        <v>202</v>
      </c>
      <c r="E4" s="3" t="s">
        <v>203</v>
      </c>
      <c r="F4" s="2"/>
      <c r="G4" s="2"/>
      <c r="H4" s="2"/>
    </row>
    <row r="5">
      <c r="A5" s="3" t="s">
        <v>15</v>
      </c>
      <c r="B5" s="3" t="s">
        <v>8</v>
      </c>
      <c r="C5" s="3" t="s">
        <v>9</v>
      </c>
      <c r="D5" s="3" t="s">
        <v>16</v>
      </c>
      <c r="E5" s="3" t="s">
        <v>203</v>
      </c>
      <c r="F5" s="2"/>
      <c r="G5" s="2"/>
      <c r="H5" s="2"/>
    </row>
    <row r="6">
      <c r="A6" s="6" t="s">
        <v>18</v>
      </c>
    </row>
    <row r="7">
      <c r="A7" s="7" t="s">
        <v>19</v>
      </c>
      <c r="B7" s="7" t="s">
        <v>20</v>
      </c>
      <c r="C7" s="7" t="s">
        <v>21</v>
      </c>
      <c r="D7" s="7" t="s">
        <v>170</v>
      </c>
      <c r="E7" s="7" t="s">
        <v>24</v>
      </c>
      <c r="F7" s="7" t="s">
        <v>29</v>
      </c>
      <c r="G7" s="8" t="s">
        <v>30</v>
      </c>
      <c r="H7" s="7" t="s">
        <v>31</v>
      </c>
    </row>
    <row r="8">
      <c r="A8" s="9" t="s">
        <v>32</v>
      </c>
      <c r="B8" s="10" t="s">
        <v>33</v>
      </c>
      <c r="C8" s="11">
        <v>2.0</v>
      </c>
      <c r="D8" s="12">
        <v>46.74</v>
      </c>
      <c r="E8" s="13">
        <f t="shared" ref="E8:E24" si="1">C8*D8</f>
        <v>93.48</v>
      </c>
      <c r="F8" s="17" t="s">
        <v>35</v>
      </c>
      <c r="G8" s="18" t="s">
        <v>36</v>
      </c>
      <c r="H8" s="19"/>
    </row>
    <row r="9">
      <c r="A9" s="20"/>
      <c r="B9" s="32" t="s">
        <v>204</v>
      </c>
      <c r="C9" s="21">
        <v>2.0</v>
      </c>
      <c r="D9" s="12">
        <v>6.79</v>
      </c>
      <c r="E9" s="13">
        <f t="shared" si="1"/>
        <v>13.58</v>
      </c>
      <c r="F9" s="22" t="s">
        <v>38</v>
      </c>
      <c r="G9" s="18" t="s">
        <v>36</v>
      </c>
      <c r="H9" s="19"/>
    </row>
    <row r="10">
      <c r="A10" s="20"/>
      <c r="B10" s="18" t="s">
        <v>39</v>
      </c>
      <c r="C10" s="23">
        <v>2.0</v>
      </c>
      <c r="D10" s="12">
        <v>8.49</v>
      </c>
      <c r="E10" s="13">
        <f t="shared" si="1"/>
        <v>16.98</v>
      </c>
      <c r="F10" s="25" t="s">
        <v>40</v>
      </c>
      <c r="G10" s="18" t="s">
        <v>36</v>
      </c>
      <c r="H10" s="19"/>
    </row>
    <row r="11">
      <c r="A11" s="20"/>
      <c r="B11" s="18" t="s">
        <v>41</v>
      </c>
      <c r="C11" s="23">
        <v>1.0</v>
      </c>
      <c r="D11" s="12">
        <v>84.99</v>
      </c>
      <c r="E11" s="13">
        <f t="shared" si="1"/>
        <v>84.99</v>
      </c>
      <c r="F11" s="25" t="s">
        <v>42</v>
      </c>
      <c r="G11" s="18" t="s">
        <v>36</v>
      </c>
      <c r="H11" s="19"/>
    </row>
    <row r="12">
      <c r="A12" s="20"/>
      <c r="B12" s="26" t="s">
        <v>43</v>
      </c>
      <c r="C12" s="23">
        <v>2.0</v>
      </c>
      <c r="D12" s="12">
        <v>3.05</v>
      </c>
      <c r="E12" s="13">
        <f t="shared" si="1"/>
        <v>6.1</v>
      </c>
      <c r="F12" s="47" t="s">
        <v>44</v>
      </c>
      <c r="G12" s="18" t="s">
        <v>36</v>
      </c>
      <c r="H12" s="19"/>
    </row>
    <row r="13">
      <c r="A13" s="20"/>
      <c r="B13" s="26" t="s">
        <v>173</v>
      </c>
      <c r="C13" s="23">
        <v>2.0</v>
      </c>
      <c r="D13" s="12">
        <v>11.69</v>
      </c>
      <c r="E13" s="13">
        <f t="shared" si="1"/>
        <v>23.38</v>
      </c>
      <c r="F13" s="25" t="s">
        <v>205</v>
      </c>
      <c r="G13" s="18" t="s">
        <v>36</v>
      </c>
      <c r="H13" s="19"/>
    </row>
    <row r="14">
      <c r="A14" s="20"/>
      <c r="B14" s="28" t="s">
        <v>48</v>
      </c>
      <c r="C14" s="21">
        <v>1.0</v>
      </c>
      <c r="D14" s="13">
        <v>59.99</v>
      </c>
      <c r="E14" s="13">
        <f t="shared" si="1"/>
        <v>59.99</v>
      </c>
      <c r="F14" s="31" t="s">
        <v>50</v>
      </c>
      <c r="G14" s="32" t="s">
        <v>36</v>
      </c>
      <c r="H14" s="19"/>
    </row>
    <row r="15">
      <c r="A15" s="20"/>
      <c r="B15" s="32" t="s">
        <v>206</v>
      </c>
      <c r="C15" s="21">
        <v>1.0</v>
      </c>
      <c r="D15" s="13">
        <v>23.99</v>
      </c>
      <c r="E15" s="13">
        <f t="shared" si="1"/>
        <v>23.99</v>
      </c>
      <c r="F15" s="31" t="s">
        <v>176</v>
      </c>
      <c r="G15" s="32" t="s">
        <v>36</v>
      </c>
      <c r="H15" s="19"/>
    </row>
    <row r="16">
      <c r="A16" s="20"/>
      <c r="B16" s="32" t="s">
        <v>207</v>
      </c>
      <c r="C16" s="21">
        <v>1.0</v>
      </c>
      <c r="D16" s="13">
        <v>7.99</v>
      </c>
      <c r="E16" s="13">
        <f t="shared" si="1"/>
        <v>7.99</v>
      </c>
      <c r="F16" s="31" t="s">
        <v>178</v>
      </c>
      <c r="G16" s="32" t="s">
        <v>56</v>
      </c>
      <c r="H16" s="19"/>
    </row>
    <row r="17">
      <c r="A17" s="20"/>
      <c r="B17" s="32" t="s">
        <v>179</v>
      </c>
      <c r="C17" s="21">
        <v>1.0</v>
      </c>
      <c r="D17" s="12">
        <v>9.99</v>
      </c>
      <c r="E17" s="13">
        <f t="shared" si="1"/>
        <v>9.99</v>
      </c>
      <c r="F17" s="33" t="s">
        <v>55</v>
      </c>
      <c r="G17" s="32" t="s">
        <v>56</v>
      </c>
      <c r="H17" s="19"/>
    </row>
    <row r="18">
      <c r="A18" s="20"/>
      <c r="B18" s="18" t="s">
        <v>59</v>
      </c>
      <c r="C18" s="23">
        <v>1.0</v>
      </c>
      <c r="D18" s="12">
        <v>3.39</v>
      </c>
      <c r="E18" s="13">
        <f t="shared" si="1"/>
        <v>3.39</v>
      </c>
      <c r="F18" s="52" t="s">
        <v>60</v>
      </c>
      <c r="G18" s="18" t="s">
        <v>36</v>
      </c>
      <c r="H18" s="18" t="s">
        <v>61</v>
      </c>
    </row>
    <row r="19">
      <c r="A19" s="20"/>
      <c r="B19" s="18" t="s">
        <v>62</v>
      </c>
      <c r="C19" s="18">
        <v>1.0</v>
      </c>
      <c r="D19" s="35">
        <v>3.39</v>
      </c>
      <c r="E19" s="13">
        <f t="shared" si="1"/>
        <v>3.39</v>
      </c>
      <c r="F19" s="38" t="s">
        <v>63</v>
      </c>
      <c r="G19" s="18" t="s">
        <v>36</v>
      </c>
      <c r="H19" s="18" t="s">
        <v>61</v>
      </c>
    </row>
    <row r="20">
      <c r="A20" s="20"/>
      <c r="B20" s="39" t="s">
        <v>64</v>
      </c>
      <c r="C20" s="18">
        <v>2.0</v>
      </c>
      <c r="D20" s="35">
        <v>5.94</v>
      </c>
      <c r="E20" s="13">
        <f t="shared" si="1"/>
        <v>11.88</v>
      </c>
      <c r="F20" s="38" t="s">
        <v>65</v>
      </c>
      <c r="G20" s="18" t="s">
        <v>36</v>
      </c>
      <c r="H20" s="19"/>
    </row>
    <row r="21">
      <c r="A21" s="20"/>
      <c r="B21" s="18" t="s">
        <v>66</v>
      </c>
      <c r="C21" s="18">
        <v>2.0</v>
      </c>
      <c r="D21" s="35">
        <v>11.04</v>
      </c>
      <c r="E21" s="13">
        <f t="shared" si="1"/>
        <v>22.08</v>
      </c>
      <c r="F21" s="38" t="s">
        <v>67</v>
      </c>
      <c r="G21" s="18" t="s">
        <v>36</v>
      </c>
      <c r="H21" s="19"/>
    </row>
    <row r="22">
      <c r="A22" s="46" t="s">
        <v>76</v>
      </c>
      <c r="B22" s="18" t="s">
        <v>77</v>
      </c>
      <c r="C22" s="23">
        <v>4.0</v>
      </c>
      <c r="D22" s="12">
        <v>11.04</v>
      </c>
      <c r="E22" s="13">
        <f t="shared" si="1"/>
        <v>44.16</v>
      </c>
      <c r="F22" s="47" t="s">
        <v>78</v>
      </c>
      <c r="G22" s="18" t="s">
        <v>56</v>
      </c>
      <c r="H22" s="19"/>
    </row>
    <row r="23">
      <c r="A23" s="48"/>
      <c r="B23" s="18" t="s">
        <v>79</v>
      </c>
      <c r="C23" s="23">
        <v>2.0</v>
      </c>
      <c r="D23" s="12">
        <v>2.71</v>
      </c>
      <c r="E23" s="13">
        <f t="shared" si="1"/>
        <v>5.42</v>
      </c>
      <c r="F23" s="47" t="s">
        <v>80</v>
      </c>
      <c r="G23" s="18" t="s">
        <v>56</v>
      </c>
      <c r="H23" s="19"/>
    </row>
    <row r="24">
      <c r="A24" s="48"/>
      <c r="B24" s="18" t="s">
        <v>81</v>
      </c>
      <c r="C24" s="23">
        <v>2.0</v>
      </c>
      <c r="D24" s="12">
        <v>2.54</v>
      </c>
      <c r="E24" s="13">
        <f t="shared" si="1"/>
        <v>5.08</v>
      </c>
      <c r="F24" s="47" t="s">
        <v>82</v>
      </c>
      <c r="G24" s="18" t="s">
        <v>56</v>
      </c>
      <c r="H24" s="19"/>
    </row>
    <row r="25">
      <c r="A25" s="60" t="s">
        <v>112</v>
      </c>
      <c r="B25" s="19"/>
      <c r="C25" s="11"/>
      <c r="D25" s="13"/>
      <c r="E25" s="13"/>
      <c r="F25" s="19"/>
      <c r="G25" s="19"/>
      <c r="H25" s="19"/>
    </row>
    <row r="26">
      <c r="A26" s="60"/>
      <c r="B26" s="18" t="s">
        <v>208</v>
      </c>
      <c r="C26" s="23">
        <v>1.0</v>
      </c>
      <c r="D26" s="12">
        <v>27.99</v>
      </c>
      <c r="E26" s="13">
        <f t="shared" ref="E26:E33" si="2">C26*D26</f>
        <v>27.99</v>
      </c>
      <c r="F26" s="25" t="s">
        <v>209</v>
      </c>
      <c r="G26" s="18" t="s">
        <v>56</v>
      </c>
      <c r="H26" s="19"/>
    </row>
    <row r="27">
      <c r="A27" s="61"/>
      <c r="B27" s="18" t="s">
        <v>115</v>
      </c>
      <c r="C27" s="23">
        <v>1.0</v>
      </c>
      <c r="D27" s="12">
        <v>9.34</v>
      </c>
      <c r="E27" s="13">
        <f t="shared" si="2"/>
        <v>9.34</v>
      </c>
      <c r="F27" s="63" t="s">
        <v>116</v>
      </c>
      <c r="G27" s="18" t="s">
        <v>56</v>
      </c>
      <c r="H27" s="18" t="s">
        <v>210</v>
      </c>
    </row>
    <row r="28">
      <c r="A28" s="61"/>
      <c r="B28" s="18" t="s">
        <v>117</v>
      </c>
      <c r="C28" s="23">
        <v>1.0</v>
      </c>
      <c r="D28" s="12">
        <v>3.87</v>
      </c>
      <c r="E28" s="13">
        <f t="shared" si="2"/>
        <v>3.87</v>
      </c>
      <c r="F28" s="57" t="s">
        <v>211</v>
      </c>
      <c r="G28" s="18" t="s">
        <v>56</v>
      </c>
      <c r="H28" s="19"/>
    </row>
    <row r="29">
      <c r="A29" s="61"/>
      <c r="B29" s="18" t="s">
        <v>212</v>
      </c>
      <c r="C29" s="23">
        <v>1.0</v>
      </c>
      <c r="D29" s="12">
        <v>6.99</v>
      </c>
      <c r="E29" s="13">
        <f t="shared" si="2"/>
        <v>6.99</v>
      </c>
      <c r="F29" s="106" t="s">
        <v>213</v>
      </c>
      <c r="G29" s="18" t="s">
        <v>56</v>
      </c>
      <c r="H29" s="19"/>
    </row>
    <row r="30">
      <c r="A30" s="61"/>
      <c r="B30" s="18" t="s">
        <v>185</v>
      </c>
      <c r="C30" s="23">
        <v>1.0</v>
      </c>
      <c r="D30" s="12">
        <v>25.0</v>
      </c>
      <c r="E30" s="13">
        <f t="shared" si="2"/>
        <v>25</v>
      </c>
      <c r="F30" s="68" t="s">
        <v>46</v>
      </c>
      <c r="G30" s="18" t="s">
        <v>121</v>
      </c>
      <c r="H30" s="69" t="s">
        <v>187</v>
      </c>
    </row>
    <row r="31">
      <c r="A31" s="61"/>
      <c r="B31" s="18" t="s">
        <v>122</v>
      </c>
      <c r="C31" s="23">
        <v>1.0</v>
      </c>
      <c r="D31" s="12">
        <v>4.8</v>
      </c>
      <c r="E31" s="13">
        <f t="shared" si="2"/>
        <v>4.8</v>
      </c>
      <c r="F31" s="63" t="s">
        <v>123</v>
      </c>
      <c r="G31" s="18" t="s">
        <v>124</v>
      </c>
      <c r="H31" s="19"/>
    </row>
    <row r="32">
      <c r="A32" s="61"/>
      <c r="B32" s="18" t="s">
        <v>129</v>
      </c>
      <c r="C32" s="23">
        <v>2.0</v>
      </c>
      <c r="D32" s="12">
        <v>2.5</v>
      </c>
      <c r="E32" s="13">
        <f t="shared" si="2"/>
        <v>5</v>
      </c>
      <c r="F32" s="107" t="s">
        <v>214</v>
      </c>
      <c r="G32" s="18" t="s">
        <v>124</v>
      </c>
      <c r="H32" s="19"/>
    </row>
    <row r="33">
      <c r="A33" s="77" t="s">
        <v>130</v>
      </c>
      <c r="B33" s="26" t="s">
        <v>131</v>
      </c>
      <c r="C33" s="78">
        <v>2.0</v>
      </c>
      <c r="D33" s="104">
        <f>25</f>
        <v>25</v>
      </c>
      <c r="E33" s="13">
        <f t="shared" si="2"/>
        <v>50</v>
      </c>
      <c r="F33" s="10"/>
      <c r="G33" s="10"/>
      <c r="H33" s="19"/>
    </row>
    <row r="34">
      <c r="A34" s="82" t="s">
        <v>132</v>
      </c>
      <c r="B34" s="19"/>
      <c r="C34" s="19"/>
      <c r="D34" s="94"/>
      <c r="E34" s="13"/>
      <c r="F34" s="19"/>
      <c r="G34" s="19"/>
      <c r="H34" s="19"/>
    </row>
    <row r="35">
      <c r="A35" s="86"/>
      <c r="B35" s="18" t="s">
        <v>133</v>
      </c>
      <c r="C35" s="18">
        <v>2.0</v>
      </c>
      <c r="D35" s="35">
        <v>0.4</v>
      </c>
      <c r="E35" s="13">
        <f t="shared" ref="E35:E43" si="3">C35*D35</f>
        <v>0.8</v>
      </c>
      <c r="F35" s="85" t="s">
        <v>135</v>
      </c>
      <c r="G35" s="18" t="s">
        <v>56</v>
      </c>
      <c r="H35" s="19"/>
    </row>
    <row r="36">
      <c r="A36" s="86"/>
      <c r="B36" s="18" t="s">
        <v>136</v>
      </c>
      <c r="C36" s="18">
        <v>2.0</v>
      </c>
      <c r="D36" s="35">
        <v>0.1</v>
      </c>
      <c r="E36" s="13">
        <f t="shared" si="3"/>
        <v>0.2</v>
      </c>
      <c r="F36" s="89" t="s">
        <v>138</v>
      </c>
      <c r="G36" s="18" t="s">
        <v>56</v>
      </c>
      <c r="H36" s="19"/>
    </row>
    <row r="37">
      <c r="A37" s="86"/>
      <c r="B37" s="18" t="s">
        <v>139</v>
      </c>
      <c r="C37" s="18">
        <v>4.0</v>
      </c>
      <c r="D37" s="35">
        <v>0.82</v>
      </c>
      <c r="E37" s="13">
        <f t="shared" si="3"/>
        <v>3.28</v>
      </c>
      <c r="F37" s="85" t="s">
        <v>191</v>
      </c>
      <c r="G37" s="18" t="s">
        <v>56</v>
      </c>
      <c r="H37" s="19"/>
    </row>
    <row r="38">
      <c r="A38" s="86"/>
      <c r="B38" s="18" t="s">
        <v>142</v>
      </c>
      <c r="C38" s="18">
        <v>1.0</v>
      </c>
      <c r="D38" s="35">
        <v>6.99</v>
      </c>
      <c r="E38" s="13">
        <f t="shared" si="3"/>
        <v>6.99</v>
      </c>
      <c r="F38" s="85" t="s">
        <v>215</v>
      </c>
      <c r="G38" s="18" t="s">
        <v>144</v>
      </c>
      <c r="H38" s="19"/>
    </row>
    <row r="39">
      <c r="A39" s="86"/>
      <c r="B39" s="18" t="s">
        <v>193</v>
      </c>
      <c r="C39" s="18">
        <v>1.0</v>
      </c>
      <c r="D39" s="35">
        <v>9.99</v>
      </c>
      <c r="E39" s="13">
        <f t="shared" si="3"/>
        <v>9.99</v>
      </c>
      <c r="F39" s="85" t="s">
        <v>216</v>
      </c>
      <c r="G39" s="18"/>
      <c r="H39" s="19"/>
    </row>
    <row r="40">
      <c r="A40" s="86"/>
      <c r="B40" s="18" t="s">
        <v>195</v>
      </c>
      <c r="C40" s="18">
        <v>1.0</v>
      </c>
      <c r="D40" s="35">
        <v>9.99</v>
      </c>
      <c r="E40" s="13">
        <f t="shared" si="3"/>
        <v>9.99</v>
      </c>
      <c r="F40" s="85" t="s">
        <v>217</v>
      </c>
      <c r="G40" s="18"/>
      <c r="H40" s="19"/>
    </row>
    <row r="41">
      <c r="A41" s="86"/>
      <c r="B41" s="18" t="s">
        <v>147</v>
      </c>
      <c r="C41" s="18">
        <v>2.0</v>
      </c>
      <c r="D41" s="35">
        <v>20.0</v>
      </c>
      <c r="E41" s="13">
        <f t="shared" si="3"/>
        <v>40</v>
      </c>
      <c r="F41" s="92" t="s">
        <v>196</v>
      </c>
      <c r="G41" s="18" t="s">
        <v>56</v>
      </c>
      <c r="H41" s="19"/>
    </row>
    <row r="42">
      <c r="A42" s="86"/>
      <c r="B42" s="18" t="s">
        <v>197</v>
      </c>
      <c r="C42" s="18">
        <v>1.0</v>
      </c>
      <c r="D42" s="35">
        <v>4.99</v>
      </c>
      <c r="E42" s="13">
        <f t="shared" si="3"/>
        <v>4.99</v>
      </c>
      <c r="F42" s="89" t="s">
        <v>198</v>
      </c>
      <c r="G42" s="18"/>
      <c r="H42" s="19"/>
    </row>
    <row r="43">
      <c r="A43" s="86"/>
      <c r="B43" s="18" t="s">
        <v>199</v>
      </c>
      <c r="C43" s="18">
        <v>1.0</v>
      </c>
      <c r="D43" s="35">
        <v>18.99</v>
      </c>
      <c r="E43" s="13">
        <f t="shared" si="3"/>
        <v>18.99</v>
      </c>
      <c r="F43" s="105" t="s">
        <v>200</v>
      </c>
      <c r="G43" s="18" t="s">
        <v>56</v>
      </c>
      <c r="H43" s="19"/>
    </row>
    <row r="44">
      <c r="A44" s="19"/>
      <c r="B44" s="19"/>
      <c r="C44" s="19"/>
      <c r="D44" s="94"/>
      <c r="E44" s="94"/>
      <c r="F44" s="19"/>
      <c r="G44" s="19"/>
      <c r="H44" s="19"/>
    </row>
    <row r="45">
      <c r="A45" s="98" t="s">
        <v>166</v>
      </c>
      <c r="B45" s="98"/>
      <c r="C45" s="98"/>
      <c r="D45" s="99"/>
      <c r="E45" s="100">
        <f>SUM(E7:E43)</f>
        <v>664.09</v>
      </c>
      <c r="F45" s="98"/>
      <c r="G45" s="98"/>
      <c r="H45" s="19"/>
    </row>
    <row r="46">
      <c r="H46" s="19"/>
    </row>
    <row r="47">
      <c r="H47" s="19"/>
    </row>
    <row r="48">
      <c r="H48" s="19"/>
    </row>
  </sheetData>
  <mergeCells count="2">
    <mergeCell ref="A1:H1"/>
    <mergeCell ref="A6:H6"/>
  </mergeCells>
  <hyperlinks>
    <hyperlink r:id="rId1" ref="F8"/>
    <hyperlink r:id="rId2" ref="F9"/>
    <hyperlink r:id="rId3" ref="F10"/>
    <hyperlink r:id="rId4" ref="F11"/>
    <hyperlink r:id="rId5" ref="F12"/>
    <hyperlink r:id="rId6" ref="F13"/>
    <hyperlink r:id="rId7" ref="F14"/>
    <hyperlink r:id="rId8" ref="F15"/>
    <hyperlink r:id="rId9" ref="F16"/>
    <hyperlink r:id="rId10" ref="F17"/>
    <hyperlink r:id="rId11" ref="F18"/>
    <hyperlink r:id="rId12" ref="F19"/>
    <hyperlink r:id="rId13" ref="F20"/>
    <hyperlink r:id="rId14" ref="F21"/>
    <hyperlink r:id="rId15" ref="F22"/>
    <hyperlink r:id="rId16" ref="F23"/>
    <hyperlink r:id="rId17" ref="F24"/>
    <hyperlink r:id="rId18" ref="F26"/>
    <hyperlink r:id="rId19" ref="F27"/>
    <hyperlink r:id="rId20" ref="F28"/>
    <hyperlink r:id="rId21" ref="F29"/>
    <hyperlink r:id="rId22" ref="F31"/>
    <hyperlink r:id="rId23" ref="F35"/>
    <hyperlink r:id="rId24" ref="F36"/>
    <hyperlink r:id="rId25" ref="F37"/>
    <hyperlink r:id="rId26" ref="F38"/>
    <hyperlink r:id="rId27" ref="F39"/>
    <hyperlink r:id="rId28" ref="F40"/>
    <hyperlink r:id="rId29" ref="F42"/>
    <hyperlink r:id="rId30" ref="F43"/>
  </hyperlinks>
  <drawing r:id="rId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14.5"/>
    <col customWidth="1" min="3" max="3" width="51.0"/>
    <col customWidth="1" min="4" max="4" width="34.5"/>
  </cols>
  <sheetData>
    <row r="1" ht="4.5" customHeight="1">
      <c r="A1" s="108"/>
      <c r="B1" s="108"/>
      <c r="C1" s="108"/>
      <c r="D1" s="108"/>
      <c r="E1" s="108"/>
    </row>
    <row r="2">
      <c r="A2" s="108"/>
      <c r="B2" s="109" t="s">
        <v>218</v>
      </c>
      <c r="C2" s="110" t="s">
        <v>219</v>
      </c>
      <c r="D2" s="111" t="s">
        <v>220</v>
      </c>
      <c r="E2" s="112" t="s">
        <v>221</v>
      </c>
    </row>
    <row r="3">
      <c r="A3" s="108"/>
      <c r="B3" s="113" t="s">
        <v>222</v>
      </c>
      <c r="C3" s="114" t="s">
        <v>223</v>
      </c>
      <c r="D3" s="115" t="s">
        <v>135</v>
      </c>
      <c r="E3" s="116">
        <f>0.4*2</f>
        <v>0.8</v>
      </c>
    </row>
    <row r="4">
      <c r="A4" s="108"/>
      <c r="B4" s="117"/>
      <c r="C4" s="114" t="s">
        <v>224</v>
      </c>
      <c r="D4" s="105" t="s">
        <v>138</v>
      </c>
      <c r="E4" s="116">
        <v>0.5</v>
      </c>
    </row>
    <row r="5">
      <c r="A5" s="108"/>
      <c r="B5" s="117"/>
      <c r="C5" s="114" t="s">
        <v>225</v>
      </c>
      <c r="D5" s="38" t="s">
        <v>226</v>
      </c>
      <c r="E5" s="116">
        <v>25.58</v>
      </c>
    </row>
    <row r="6">
      <c r="A6" s="108"/>
      <c r="B6" s="117"/>
      <c r="C6" s="118" t="s">
        <v>227</v>
      </c>
      <c r="D6" s="119" t="s">
        <v>228</v>
      </c>
      <c r="E6" s="120">
        <v>43.82</v>
      </c>
    </row>
    <row r="7">
      <c r="A7" s="108"/>
      <c r="B7" s="117"/>
      <c r="C7" s="118" t="s">
        <v>229</v>
      </c>
      <c r="D7" s="121" t="s">
        <v>230</v>
      </c>
      <c r="E7" s="120">
        <v>6.99</v>
      </c>
    </row>
    <row r="8">
      <c r="A8" s="108"/>
      <c r="B8" s="122"/>
      <c r="C8" s="123" t="s">
        <v>231</v>
      </c>
      <c r="D8" s="124" t="s">
        <v>232</v>
      </c>
      <c r="E8" s="125">
        <v>9.99</v>
      </c>
    </row>
    <row r="9">
      <c r="A9" s="108"/>
      <c r="B9" s="126" t="s">
        <v>233</v>
      </c>
      <c r="C9" s="127" t="s">
        <v>234</v>
      </c>
      <c r="D9" s="128" t="s">
        <v>235</v>
      </c>
      <c r="E9" s="129">
        <v>50.0</v>
      </c>
    </row>
    <row r="10">
      <c r="A10" s="108"/>
      <c r="B10" s="113" t="s">
        <v>236</v>
      </c>
      <c r="C10" s="114" t="s">
        <v>237</v>
      </c>
      <c r="D10" s="25" t="s">
        <v>209</v>
      </c>
      <c r="E10" s="116">
        <v>27.99</v>
      </c>
    </row>
    <row r="11">
      <c r="A11" s="108"/>
      <c r="B11" s="117"/>
      <c r="C11" s="118" t="s">
        <v>238</v>
      </c>
      <c r="D11" s="38" t="s">
        <v>239</v>
      </c>
      <c r="E11" s="120">
        <v>9.99</v>
      </c>
    </row>
    <row r="12">
      <c r="A12" s="108"/>
      <c r="B12" s="117"/>
      <c r="C12" s="118" t="s">
        <v>240</v>
      </c>
      <c r="D12" s="130" t="s">
        <v>241</v>
      </c>
      <c r="E12" s="120">
        <v>3.87</v>
      </c>
    </row>
    <row r="13">
      <c r="A13" s="108"/>
      <c r="B13" s="117"/>
      <c r="C13" s="118" t="s">
        <v>242</v>
      </c>
      <c r="D13" s="131" t="s">
        <v>243</v>
      </c>
      <c r="E13" s="120">
        <v>25.0</v>
      </c>
    </row>
    <row r="14">
      <c r="A14" s="108"/>
      <c r="B14" s="117"/>
      <c r="C14" s="118" t="s">
        <v>244</v>
      </c>
      <c r="D14" s="131" t="s">
        <v>214</v>
      </c>
      <c r="E14" s="120">
        <v>5.0</v>
      </c>
    </row>
    <row r="15">
      <c r="A15" s="108"/>
      <c r="B15" s="117"/>
      <c r="C15" s="118" t="s">
        <v>245</v>
      </c>
      <c r="D15" s="130" t="s">
        <v>241</v>
      </c>
      <c r="E15" s="120">
        <v>3.08</v>
      </c>
    </row>
    <row r="16">
      <c r="A16" s="108"/>
      <c r="B16" s="122"/>
      <c r="C16" s="123" t="s">
        <v>212</v>
      </c>
      <c r="D16" s="132" t="s">
        <v>213</v>
      </c>
      <c r="E16" s="125">
        <v>6.99</v>
      </c>
    </row>
    <row r="17">
      <c r="A17" s="108"/>
      <c r="B17" s="113" t="s">
        <v>32</v>
      </c>
      <c r="C17" s="114" t="s">
        <v>246</v>
      </c>
      <c r="D17" s="30" t="s">
        <v>35</v>
      </c>
      <c r="E17" s="116">
        <v>109.98</v>
      </c>
    </row>
    <row r="18">
      <c r="A18" s="108"/>
      <c r="B18" s="117"/>
      <c r="C18" s="118" t="s">
        <v>247</v>
      </c>
      <c r="D18" s="31" t="s">
        <v>38</v>
      </c>
      <c r="E18" s="133">
        <v>15.98</v>
      </c>
    </row>
    <row r="19">
      <c r="A19" s="108"/>
      <c r="B19" s="117"/>
      <c r="C19" s="118" t="s">
        <v>248</v>
      </c>
      <c r="D19" s="33" t="s">
        <v>40</v>
      </c>
      <c r="E19" s="133">
        <v>19.98</v>
      </c>
    </row>
    <row r="20">
      <c r="A20" s="108"/>
      <c r="B20" s="117"/>
      <c r="C20" s="118" t="s">
        <v>249</v>
      </c>
      <c r="D20" s="33" t="s">
        <v>47</v>
      </c>
      <c r="E20" s="120">
        <v>43.98</v>
      </c>
    </row>
    <row r="21">
      <c r="A21" s="108"/>
      <c r="B21" s="117"/>
      <c r="C21" s="118" t="s">
        <v>250</v>
      </c>
      <c r="D21" s="33" t="s">
        <v>251</v>
      </c>
      <c r="E21" s="120">
        <v>79.99</v>
      </c>
    </row>
    <row r="22">
      <c r="A22" s="108"/>
      <c r="B22" s="117"/>
      <c r="C22" s="118" t="s">
        <v>225</v>
      </c>
      <c r="D22" s="38" t="s">
        <v>226</v>
      </c>
      <c r="E22" s="120">
        <v>12.79</v>
      </c>
    </row>
    <row r="23">
      <c r="A23" s="108"/>
      <c r="B23" s="122"/>
      <c r="C23" s="123" t="s">
        <v>252</v>
      </c>
      <c r="D23" s="134" t="s">
        <v>214</v>
      </c>
      <c r="E23" s="125">
        <v>30.0</v>
      </c>
    </row>
    <row r="24">
      <c r="A24" s="108"/>
      <c r="B24" s="113" t="s">
        <v>76</v>
      </c>
      <c r="C24" s="114" t="s">
        <v>253</v>
      </c>
      <c r="D24" s="135" t="s">
        <v>214</v>
      </c>
      <c r="E24" s="116">
        <v>20.0</v>
      </c>
    </row>
    <row r="25">
      <c r="A25" s="108"/>
      <c r="B25" s="122"/>
      <c r="C25" s="123" t="s">
        <v>254</v>
      </c>
      <c r="D25" s="136" t="s">
        <v>78</v>
      </c>
      <c r="E25" s="125">
        <v>77.94</v>
      </c>
    </row>
    <row r="26">
      <c r="A26" s="108"/>
      <c r="B26" s="113" t="s">
        <v>255</v>
      </c>
      <c r="C26" s="114" t="s">
        <v>256</v>
      </c>
      <c r="D26" s="137" t="s">
        <v>50</v>
      </c>
      <c r="E26" s="116">
        <v>59.99</v>
      </c>
    </row>
    <row r="27">
      <c r="A27" s="108"/>
      <c r="B27" s="117"/>
      <c r="C27" s="138" t="s">
        <v>257</v>
      </c>
      <c r="D27" s="139" t="s">
        <v>176</v>
      </c>
      <c r="E27" s="120">
        <v>23.99</v>
      </c>
    </row>
    <row r="28">
      <c r="A28" s="108"/>
      <c r="B28" s="117"/>
      <c r="C28" s="138" t="s">
        <v>258</v>
      </c>
      <c r="D28" s="139" t="s">
        <v>178</v>
      </c>
      <c r="E28" s="120">
        <v>8.0</v>
      </c>
    </row>
    <row r="29">
      <c r="A29" s="108"/>
      <c r="B29" s="140"/>
      <c r="C29" s="141" t="s">
        <v>139</v>
      </c>
      <c r="D29" s="142" t="s">
        <v>191</v>
      </c>
      <c r="E29" s="133">
        <v>5.0</v>
      </c>
    </row>
    <row r="30">
      <c r="A30" s="108"/>
      <c r="B30" s="109" t="s">
        <v>259</v>
      </c>
      <c r="C30" s="143"/>
      <c r="D30" s="111"/>
      <c r="E30" s="112">
        <f>SUM(E3:E29)</f>
        <v>727.22</v>
      </c>
    </row>
  </sheetData>
  <mergeCells count="5">
    <mergeCell ref="B3:B8"/>
    <mergeCell ref="B10:B16"/>
    <mergeCell ref="B17:B23"/>
    <mergeCell ref="B24:B25"/>
    <mergeCell ref="B26:B29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10"/>
    <hyperlink r:id="rId8" ref="D11"/>
    <hyperlink r:id="rId9" ref="D12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5"/>
    <hyperlink r:id="rId19" ref="D26"/>
    <hyperlink r:id="rId20" ref="D27"/>
    <hyperlink r:id="rId21" ref="D28"/>
    <hyperlink r:id="rId22" ref="D29"/>
  </hyperlinks>
  <drawing r:id="rId2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2" max="2" width="14.5"/>
    <col customWidth="1" min="3" max="3" width="69.5"/>
    <col customWidth="1" min="4" max="4" width="34.5"/>
    <col customWidth="1" min="7" max="7" width="51.0"/>
  </cols>
  <sheetData>
    <row r="1" ht="4.5" customHeight="1">
      <c r="A1" s="108"/>
      <c r="B1" s="108"/>
      <c r="C1" s="108"/>
      <c r="D1" s="108"/>
      <c r="E1" s="108"/>
    </row>
    <row r="2">
      <c r="A2" s="108"/>
      <c r="B2" s="109" t="s">
        <v>218</v>
      </c>
      <c r="C2" s="110" t="s">
        <v>219</v>
      </c>
      <c r="D2" s="111" t="s">
        <v>220</v>
      </c>
      <c r="E2" s="112" t="s">
        <v>221</v>
      </c>
      <c r="G2" s="144"/>
    </row>
    <row r="3">
      <c r="A3" s="108"/>
      <c r="B3" s="113" t="str">
        <f>'Detailed BOM V1'!A3</f>
        <v>Drivetrain</v>
      </c>
      <c r="C3" s="114" t="str">
        <f>CONCATENATE( CONCATENATE('Detailed BOM V1'!B3," x") ,'Detailed BOM V1'!C3)</f>
        <v>435 RPM GoBuilda Yellow Jacket Motors x2</v>
      </c>
      <c r="D3" s="115" t="str">
        <f>'Detailed BOM V1'!F3</f>
        <v>https://www.gobilda.com/5203-series-yellow-jacket-planetary-gear-motor-13-7-1-ratio-24mm-length-8mm-rex-shaft-435-rpm-3-3-5v-encoder/</v>
      </c>
      <c r="E3" s="145">
        <f>'Detailed BOM V1'!E3</f>
        <v>109.98</v>
      </c>
      <c r="G3" s="146"/>
    </row>
    <row r="4">
      <c r="A4" s="108"/>
      <c r="B4" s="117"/>
      <c r="C4" s="114" t="str">
        <f>CONCATENATE( CONCATENATE('Detailed BOM V1'!B4," x") ,'Detailed BOM V1'!C4)</f>
        <v>1309 Series Sonic Hub (8mm REX™ Bore) x2</v>
      </c>
      <c r="D4" s="115" t="str">
        <f>'Detailed BOM V1'!F4</f>
        <v>https://www.gobilda.com/1309-series-sonic-hub-8mm-rex-bore/</v>
      </c>
      <c r="E4" s="145">
        <f>'Detailed BOM V1'!E4</f>
        <v>15.98</v>
      </c>
      <c r="G4" s="146"/>
    </row>
    <row r="5">
      <c r="A5" s="108"/>
      <c r="B5" s="117"/>
      <c r="C5" s="114" t="str">
        <f>CONCATENATE( CONCATENATE('Detailed BOM V1'!B5," x") ,'Detailed BOM V1'!C5)</f>
        <v>Hogback Traction Wheels (Back Wheels) x2</v>
      </c>
      <c r="D5" s="115" t="str">
        <f>'Detailed BOM V1'!F5</f>
        <v>https://www.gobilda.com/hogback-traction-wheel-96mm-diameter-50a-durometer/</v>
      </c>
      <c r="E5" s="145">
        <f>'Detailed BOM V1'!E5</f>
        <v>19.98</v>
      </c>
      <c r="G5" s="146"/>
    </row>
    <row r="6">
      <c r="A6" s="108"/>
      <c r="B6" s="117"/>
      <c r="C6" s="114" t="str">
        <f>CONCATENATE( CONCATENATE('Detailed BOM V1'!B6," x") ,'Detailed BOM V1'!C6)</f>
        <v>RoboClaw Motor Controller x1</v>
      </c>
      <c r="D6" s="115" t="str">
        <f>'Detailed BOM V1'!F6</f>
        <v>https://www.gobilda.com/roboclaw-2x15a-motor-controller/</v>
      </c>
      <c r="E6" s="145">
        <f>'Detailed BOM V1'!E6</f>
        <v>99.99</v>
      </c>
      <c r="G6" s="144"/>
    </row>
    <row r="7">
      <c r="A7" s="108"/>
      <c r="B7" s="117"/>
      <c r="C7" s="114" t="str">
        <f>CONCATENATE( CONCATENATE('Detailed BOM V1'!B7," x") ,'Detailed BOM V1'!C7)</f>
        <v>2802 Series Zinc-Plated Steel Button Head Screw (M4 x 0.7mm, 12mm Length) - 25 Pack x2</v>
      </c>
      <c r="D7" s="115" t="str">
        <f>'Detailed BOM V1'!F7</f>
        <v>https://www.gobilda.com/2802-series-zinc-plated-steel-button-head-screw-m4-x-0-7mm-12mm-length-25-pack/</v>
      </c>
      <c r="E7" s="145">
        <f>'Detailed BOM V1'!E7</f>
        <v>7.18</v>
      </c>
      <c r="G7" s="144"/>
    </row>
    <row r="8">
      <c r="A8" s="108"/>
      <c r="B8" s="117"/>
      <c r="C8" s="114" t="str">
        <f>CONCATENATE( CONCATENATE('Detailed BOM V1'!B8," x") ,'Detailed BOM V1'!C8)</f>
        <v>96mm Omni Wheels (Front Wheels) x2</v>
      </c>
      <c r="D8" s="115" t="str">
        <f>'Detailed BOM V1'!F8</f>
        <v>https://www.gobilda.com/96mm-omni-wheel-14mm-bore-50a-durometer/</v>
      </c>
      <c r="E8" s="145">
        <f>'Detailed BOM V1'!E8</f>
        <v>43.98</v>
      </c>
      <c r="G8" s="147"/>
    </row>
    <row r="9">
      <c r="A9" s="108"/>
      <c r="B9" s="117"/>
      <c r="C9" s="114" t="str">
        <f>CONCATENATE( CONCATENATE('Detailed BOM V1'!B9," x") ,'Detailed BOM V1'!C9)</f>
        <v>Raspberry Pi 4B x1</v>
      </c>
      <c r="D9" s="115" t="str">
        <f>'Detailed BOM V1'!F9</f>
        <v>https://www.amazon.com/Raspberry-Pi-Model-2GB/dp/B09TTNPB4J/ref=sr_1_7?crid=252TN1F58JG7S&amp;dib=eyJ2IjoiMSJ9.HavuMzOx0pibLLpdWCmY0-n0KHJjeMikjbp58OMNJLHzsHsnrnftGjcbTUet3sVDtWfqXrWNT_k0tecU9w3FKXH2ovqggzRmNrAxzCSXAN4MIW-dVt4y_lBv65_4xWlpOFynxAc1vvqZbU0O4POhztxzEWIJLutZkLR7e5QKBxK0QEUaxvljbCqDhgi4j4SycpAX2ISoYqWR0d-ktpwasFRjYiY87Pt-06ZXpK3bbcK7ebo3Efmmhp7IM0G4TjF_fehxUl75SkZ0Lccy942LBsVlldwXyJJTAXj7OyNd4-Q.tSJdz6wDIH7He3vMiH1m9lPeU17o42S3eYchCjiuIN0&amp;dib_tag=se&amp;keywords=raspberry+pi+4b&amp;qid=1758490404&amp;s=electronics&amp;sprefix=raspberry+pi+4b%2Celectronics%2C87&amp;sr=1-7</v>
      </c>
      <c r="E9" s="145">
        <f>'Detailed BOM V1'!E9</f>
        <v>59.99</v>
      </c>
      <c r="G9" s="146"/>
    </row>
    <row r="10">
      <c r="A10" s="108"/>
      <c r="B10" s="117"/>
      <c r="C10" s="114" t="str">
        <f>CONCATENATE( CONCATENATE('Detailed BOM V1'!B10," x") ,'Detailed BOM V1'!C10)</f>
        <v>Recharable Battery (STILL TBD) x1</v>
      </c>
      <c r="D10" s="115" t="str">
        <f>'Detailed BOM V1'!F10</f>
        <v>https://www.horizonhobby.com/product/SPMX223S30.html?utm_source=google&amp;utm_medium=cpc&amp;utm_campaign=horizonhobby_shopping-catch-all_01_HIGH_NONBRAND&amp;utm_campaignid=21803082141&amp;adgroupid=177403203788&amp;utm_content=717153848083&amp;utm_term=::matchtype_&amp;utm_campaign=horizonhobby_shopping-catch-all_01_HIGH_NONBRAND&amp;utm_device=c&amp;gad_source=1&amp;gad_campaignid=21803082141&amp;gbraid=0AAAAAD_XYFnlHiL7AuJt09DydfHVU8a5E&amp;gclid=Cj0KCQjwxL7GBhDXARIsAGOcmIPf-NNGAqYpJERcda3UWFCJz1_7U0zTVIBhbQ2cUqwIIpjli_aaAZYaAhohEALw_wcB</v>
      </c>
      <c r="E10" s="145">
        <f>'Detailed BOM V1'!E10</f>
        <v>23.99</v>
      </c>
      <c r="G10" s="146"/>
    </row>
    <row r="11">
      <c r="A11" s="108"/>
      <c r="B11" s="117"/>
      <c r="C11" s="114" t="str">
        <f>CONCATENATE( CONCATENATE('Detailed BOM V1'!B11," x") ,'Detailed BOM V1'!C11)</f>
        <v>In-Line Fuse (STILL TBD) x1</v>
      </c>
      <c r="D11" s="115" t="str">
        <f>'Detailed BOM V1'!F11</f>
        <v>https://greatplainsindustries.com/products/15-amp-inline-blade-fuse-assembly?currency=USD&amp;variant=45309174612203&amp;utm_source=google&amp;utm_medium=cpc&amp;utm_campaign=Google%20Shopping&amp;stkn=a58b0943c3a3&amp;srsltid=AfmBOoqkjYlN-B0OjoPkA-O_3sAOCE-_kUCQOOv8S0REYq6af7ZgD4CSnPc</v>
      </c>
      <c r="E11" s="145">
        <f>'Detailed BOM V1'!E11</f>
        <v>7.99</v>
      </c>
      <c r="G11" s="146"/>
    </row>
    <row r="12">
      <c r="A12" s="108"/>
      <c r="B12" s="117"/>
      <c r="C12" s="114" t="str">
        <f>CONCATENATE( CONCATENATE('Detailed BOM V1'!B12," x") ,'Detailed BOM V1'!C12)</f>
        <v>Raspberry Pi SD Card x1</v>
      </c>
      <c r="D12" s="115" t="str">
        <f>'Detailed BOM V1'!F12</f>
        <v>https://www.amazon.com/SanDisk-Ultra-microSDHC-Memory-Adapter/dp/B0B7NXBM6P/?th=1</v>
      </c>
      <c r="E12" s="145">
        <f>'Detailed BOM V1'!E12</f>
        <v>9.99</v>
      </c>
      <c r="G12" s="146"/>
    </row>
    <row r="13">
      <c r="A13" s="108"/>
      <c r="B13" s="117"/>
      <c r="C13" s="148" t="str">
        <f>CONCATENATE( CONCATENATE('Detailed BOM V1'!B16," x") ,'Detailed BOM V1'!C16)</f>
        <v>Shouldered 8mm REX™ Hub-Shaft (20mm Hub Offset) x2</v>
      </c>
      <c r="D13" s="57" t="str">
        <f>'Detailed BOM V1'!F16</f>
        <v>https://www.gobilda.com/shouldered-8mm-rex-hub-shaft-20mm-hub-offset/</v>
      </c>
      <c r="E13" s="149">
        <f>'Detailed BOM V1'!E16</f>
        <v>25.98</v>
      </c>
      <c r="G13" s="146"/>
    </row>
    <row r="14">
      <c r="A14" s="108"/>
      <c r="B14" s="150" t="str">
        <f>'Detailed BOM V1'!A17</f>
        <v>Chassis</v>
      </c>
      <c r="C14" s="151" t="str">
        <f>CONCATENATE( CONCATENATE('Detailed BOM V1'!B17," x") ,'Detailed BOM V1'!C17)</f>
        <v>1120 Series U-Channel (9 Hole, 240mm Length) x4</v>
      </c>
      <c r="D14" s="152" t="str">
        <f>'Detailed BOM V1'!F17</f>
        <v>https://www.gobilda.com/1120-series-u-channel-9-hole-240mm-length/</v>
      </c>
      <c r="E14" s="153">
        <f>'Detailed BOM V1'!E17</f>
        <v>51.96</v>
      </c>
      <c r="G14" s="146"/>
    </row>
    <row r="15">
      <c r="A15" s="108"/>
      <c r="B15" s="117"/>
      <c r="C15" s="114" t="str">
        <f>CONCATENATE( CONCATENATE('Detailed BOM V1'!B18," x") ,'Detailed BOM V1'!C18)</f>
        <v>M4 x 0.7mm Zinc-Plated Socket Head Screw (8mm Length) (25 Pack) x2</v>
      </c>
      <c r="D15" s="115" t="str">
        <f>'Detailed BOM V1'!F18</f>
        <v>https://www.gobilda.com/m4-x-0-7mm-zinc-plated-socket-head-screw-8mm-length/</v>
      </c>
      <c r="E15" s="145">
        <f>'Detailed BOM V1'!E18</f>
        <v>6.38</v>
      </c>
      <c r="G15" s="154"/>
    </row>
    <row r="16">
      <c r="A16" s="108"/>
      <c r="B16" s="122"/>
      <c r="C16" s="127" t="str">
        <f>CONCATENATE( CONCATENATE('Detailed BOM V1'!B22," x") ,'Detailed BOM V1'!C22)</f>
        <v>M4 x 0.7mm Nylock Nut (25 Pack) x2</v>
      </c>
      <c r="D16" s="124" t="str">
        <f>'Detailed BOM V1'!F22</f>
        <v>https://www.gobilda.com/m4-x-0-7mm-nylock-nut/?sku=2812-0004-0007</v>
      </c>
      <c r="E16" s="155">
        <f>'Detailed BOM V1'!E22</f>
        <v>4.38</v>
      </c>
      <c r="G16" s="146"/>
    </row>
    <row r="17">
      <c r="A17" s="108"/>
      <c r="B17" s="113" t="s">
        <v>260</v>
      </c>
      <c r="C17" s="114" t="str">
        <f>CONCATENATE( CONCATENATE('Detailed BOM V1'!B24," x") ,'Detailed BOM V1'!C24)</f>
        <v>Parallax Feedback 360 Degree - High Speed Continuous Rotation Servo x1</v>
      </c>
      <c r="D17" s="115" t="str">
        <f>'Detailed BOM V1'!F24</f>
        <v>https://www.parallax.com/product/parallax-feedback-360-high-speed-servo/</v>
      </c>
      <c r="E17" s="145">
        <f>'Detailed BOM V1'!E24</f>
        <v>27.99</v>
      </c>
      <c r="G17" s="146"/>
    </row>
    <row r="18">
      <c r="A18" s="108"/>
      <c r="B18" s="117"/>
      <c r="C18" s="114" t="str">
        <f>CONCATENATE( CONCATENATE('Detailed BOM V1'!B25," x") ,'Detailed BOM V1'!C25)</f>
        <v>2305 Series Brass, MOD 0.8, Servo Gear (25 Tooth Spline, 30 Tooth) x1</v>
      </c>
      <c r="D18" s="115" t="str">
        <f>'Detailed BOM V1'!F25</f>
        <v>https://www.gobilda.com/2305-series-brass-mod-0-8-servo-gear-25-tooth-spline-30-tooth/</v>
      </c>
      <c r="E18" s="145">
        <f>'Detailed BOM V1'!E25</f>
        <v>9.99</v>
      </c>
      <c r="G18" s="146"/>
    </row>
    <row r="19">
      <c r="A19" s="108"/>
      <c r="B19" s="117"/>
      <c r="C19" s="114" t="str">
        <f>CONCATENATE( CONCATENATE('Detailed BOM V1'!B26," x") ,'Detailed BOM V1'!C26)</f>
        <v>20 Degree Pressure Angle Gear Rack, 32 Pitch (1 ft) x1</v>
      </c>
      <c r="D19" s="115" t="str">
        <f>'Detailed BOM V1'!F26</f>
        <v>20 Degree Pressure Angle Gear Rack, 32 Pitch | McMaster-Carr</v>
      </c>
      <c r="E19" s="145">
        <f>'Detailed BOM V1'!E26</f>
        <v>3.87</v>
      </c>
      <c r="G19" s="146"/>
    </row>
    <row r="20">
      <c r="A20" s="108"/>
      <c r="B20" s="117"/>
      <c r="C20" s="114"/>
      <c r="D20" s="156" t="str">
        <f t="shared" ref="D20:E20" si="1">#REF!</f>
        <v>#REF!</v>
      </c>
      <c r="E20" s="116" t="str">
        <f t="shared" si="1"/>
        <v>#REF!</v>
      </c>
      <c r="G20" s="157"/>
    </row>
    <row r="21">
      <c r="A21" s="108"/>
      <c r="B21" s="117"/>
      <c r="C21" s="114" t="str">
        <f>CONCATENATE( CONCATENATE('Detailed BOM V1'!B27," x") ,'Detailed BOM V1'!C27)</f>
        <v>3D Printing of tunnel and dispenser x1</v>
      </c>
      <c r="D21" s="156" t="str">
        <f>'Detailed BOM V1'!F27</f>
        <v>EIH (tentative to change)</v>
      </c>
      <c r="E21" s="145">
        <f>'Detailed BOM V1'!E27</f>
        <v>25</v>
      </c>
      <c r="G21" s="157"/>
    </row>
    <row r="22">
      <c r="A22" s="108"/>
      <c r="B22" s="117"/>
      <c r="C22" s="114" t="str">
        <f>CONCATENATE( CONCATENATE('Detailed BOM V1'!B28," x") ,'Detailed BOM V1'!C28)</f>
        <v>ABS Bar Stock (1 ft) x1</v>
      </c>
      <c r="D22" s="115" t="str">
        <f>'Detailed BOM V1'!F28</f>
        <v>https://www.mcmaster.com/8712K151-8712K152/</v>
      </c>
      <c r="E22" s="145">
        <f>'Detailed BOM V1'!E28</f>
        <v>4.8</v>
      </c>
      <c r="G22" s="158"/>
    </row>
    <row r="23">
      <c r="A23" s="108"/>
      <c r="B23" s="117"/>
      <c r="C23" s="148" t="str">
        <f>CONCATENATE( CONCATENATE('Detailed BOM V1'!B29," x") ,'Detailed BOM V1'!C29)</f>
        <v>PETE Polyethylene Terephthalate Jelly Bean Chambers x1</v>
      </c>
      <c r="D23" s="57" t="str">
        <f>'Detailed BOM V1'!F29</f>
        <v>amazon link</v>
      </c>
      <c r="E23" s="149">
        <f>'Detailed BOM V1'!E29</f>
        <v>8.54</v>
      </c>
      <c r="G23" s="159"/>
    </row>
    <row r="24">
      <c r="A24" s="108"/>
      <c r="B24" s="109" t="str">
        <f>'Detailed BOM V1'!A30</f>
        <v>Koozie</v>
      </c>
      <c r="C24" s="160" t="str">
        <f>CONCATENATE( CONCATENATE('Detailed BOM V1'!B30," x") ,'Detailed BOM V1'!C30)</f>
        <v>3D printing with ABS-M30  x2</v>
      </c>
      <c r="D24" s="161" t="str">
        <f>'Detailed BOM V1'!F30</f>
        <v/>
      </c>
      <c r="E24" s="162">
        <f>'Detailed BOM V1'!E30</f>
        <v>50</v>
      </c>
      <c r="G24" s="146"/>
    </row>
    <row r="25">
      <c r="A25" s="108"/>
      <c r="B25" s="113" t="s">
        <v>255</v>
      </c>
      <c r="C25" s="114" t="str">
        <f>CONCATENATE( CONCATENATE('Detailed BOM V1'!B32," x") ,'Detailed BOM V1'!C32)</f>
        <v>Thermistors x2</v>
      </c>
      <c r="D25" s="115" t="str">
        <f>'Detailed BOM V1'!F32</f>
        <v>https://www.digikey.com/en/products/detail/kyocera-avx/ND03P00333K--/1452053?gad_source=1&amp;gad_campaignid=20682862038&amp;gbraid=0AAAAADrbLlihpozHczm7iSeXBJ4Rpn0DV&amp;gclid=Cj0KCQjwxL7GBhDXARIsAGOcmIMkgYX8SvMh8Ca3dpat8Z4KVMCYqJJgqFAxlJ7ChvtwJ06sXMiWvT0aAoIHEALw_wcB&amp;gclsrc=aw.ds</v>
      </c>
      <c r="E25" s="145">
        <f>'Detailed BOM V1'!E32</f>
        <v>0.8</v>
      </c>
      <c r="G25" s="146"/>
    </row>
    <row r="26">
      <c r="A26" s="108"/>
      <c r="B26" s="117"/>
      <c r="C26" s="114" t="str">
        <f>CONCATENATE( CONCATENATE('Detailed BOM V1'!B33," x") ,'Detailed BOM V1'!C33)</f>
        <v>Button x2</v>
      </c>
      <c r="D26" s="115" t="str">
        <f>'Detailed BOM V1'!F33</f>
        <v>https://www.digikey.com/en/products/detail/omron-electronics-inc-emc-div/B3F-1020/44059?gclsrc=aw.ds&amp;gad_source=1&amp;gad_campaignid=20509826117&amp;gbraid=0AAAAADrbLlgPahjgQjTiZA4NtmRxex-fT&amp;gclid=Cj0KCQjwxL7GBhDXARIsAGOcmINhvAJ8CTcOZCDOgN0-hotT2-AahMXe-lMgYzgAD1VIPJNkVBgZdqYaAuCqEALw_wcB</v>
      </c>
      <c r="E26" s="145">
        <f>'Detailed BOM V1'!E33</f>
        <v>0.2</v>
      </c>
      <c r="G26" s="146"/>
    </row>
    <row r="27">
      <c r="A27" s="108"/>
      <c r="B27" s="117"/>
      <c r="C27" s="114" t="str">
        <f>CONCATENATE( CONCATENATE('Detailed BOM V1'!B34," x") ,'Detailed BOM V1'!C34)</f>
        <v>Wiring x4</v>
      </c>
      <c r="D27" s="115" t="str">
        <f>'Detailed BOM V1'!F34</f>
        <v>https://www.digikey.com/en/products/detail/alpha-wire/5952-BK001/3714462?gclsrc=aw.ds&amp;gad_source=1&amp;gad_campaignid=22518511088&amp;gbraid=0AAAAADrbLlhVhOLGFCPlUNazu0x0ttA0s&amp;gclid=Cj0KCQjwxL7GBhDXARIsAGOcmIPyQ8hwEqQjQgVImE37vOKvKr1mWB6dPkPzyWkGeovws5WE5QfGTfEaAvJSEALw_wcB</v>
      </c>
      <c r="E27" s="145">
        <f>'Detailed BOM V1'!E34</f>
        <v>3.28</v>
      </c>
      <c r="G27" s="146"/>
    </row>
    <row r="28">
      <c r="A28" s="108"/>
      <c r="B28" s="117"/>
      <c r="C28" s="114" t="str">
        <f>CONCATENATE( CONCATENATE('Detailed BOM V1'!B35," x") ,'Detailed BOM V1'!C35)</f>
        <v>Velcro Straps x1</v>
      </c>
      <c r="D28" s="115" t="str">
        <f>'Detailed BOM V1'!F35</f>
        <v>https://www.walmart.com/ip/10Pcs-Buddy-Tape-Finger-Straps-Hook-Loop-Splint-Washable-Reusable-Toe-Straighteners-Curled-Toes-Support-Black/17094772032?wmlspartner=wlpa&amp;selectedSellerId=101044658&amp;wmlspartner=wlpa&amp;cn=FY25-ENTP-PMAX_cnv_dps_dsn_dis_ad_entp_e_n&amp;gclsrc=aw.ds&amp;adid=2222222229717094772032_101044658_0000000000_21407473164&amp;wl0=&amp;wl1=x&amp;wl2=c&amp;wl3=&amp;wl4=&amp;wl5=1017248&amp;wl6=&amp;wl7=&amp;wl8=&amp;wl9=pla&amp;wl10=276374024&amp;wl11=online&amp;wl12=17094772032_101044658&amp;veh=sem&amp;gad_source=1&amp;gad_campaignid=21690411341&amp;gbraid=0AAAAADmfBIop_VMkZGxGUztXQNDLx5Xnb&amp;gclid=Cj0KCQjw0NPGBhCDARIsAGAzpp09Hj-D8jirZ63Fy1QZetg9nVV2-cplttCXt_YcEuHNL-o4IEu5McAaAtNCEALw_wcB</v>
      </c>
      <c r="E28" s="145">
        <f>'Detailed BOM V1'!E35</f>
        <v>12.99</v>
      </c>
      <c r="G28" s="146"/>
    </row>
    <row r="29">
      <c r="B29" s="117"/>
      <c r="C29" s="114" t="str">
        <f>CONCATENATE( CONCATENATE('Detailed BOM V1'!B38," x") ,'Detailed BOM V1'!C38)</f>
        <v>Build-A-Board ESP32-C3 x2</v>
      </c>
      <c r="D29" s="156" t="str">
        <f>'Detailed BOM V1'!F38</f>
        <v>Got from EIH</v>
      </c>
      <c r="E29" s="145">
        <f>'Detailed BOM V1'!E38</f>
        <v>40</v>
      </c>
      <c r="G29" s="146"/>
    </row>
    <row r="30">
      <c r="B30" s="117"/>
      <c r="C30" s="114" t="str">
        <f>CONCATENATE( CONCATENATE(#REF!," x") ,#REF!)</f>
        <v>#REF!</v>
      </c>
      <c r="D30" s="156" t="str">
        <f t="shared" ref="D30:E30" si="2">#REF!</f>
        <v>#REF!</v>
      </c>
      <c r="E30" s="116" t="str">
        <f t="shared" si="2"/>
        <v>#REF!</v>
      </c>
      <c r="G30" s="146"/>
    </row>
    <row r="31">
      <c r="B31" s="117"/>
      <c r="C31" s="148" t="str">
        <f>CONCATENATE( CONCATENATE('Detailed BOM V1'!B40," x") ,'Detailed BOM V1'!C40)</f>
        <v>9V Battery (4 pack) x1</v>
      </c>
      <c r="D31" s="57" t="str">
        <f>'Detailed BOM V1'!F40</f>
        <v>https://www.amazon.com/Quzmo-Rechargeable-Lithium-ion-Multimeters-Walkie-Talkie/dp/B0CRYBR876/ref=sr_1_6?dib=eyJ2IjoiMSJ9.AmbU2iWIJWmLrdxVTAnt282MGmjVjs086-2SWVfqZnUfPSwxeMfoGCBT6SzW_7msjsup7AEWUH9MjT7tZ4_8t0e9bolrgquHKyWZT5A79-VKktdHt-M5pSd1f2b24tdsbSC78NrPuV6_JL922AFxPWZNqUrCuq_hqDJ6fj46bDLilJ9e8B4Bfk9xByyp0NS6aKSSNoELk0ilNJu4eAaXr1C_sMkjAC1XTYVv4dyhExVyirpApBgoKmCeQK3opRM8v91XH6q70dIAgzv6DoR6nx5-5YE_TKO7Zjq-qrkVvdI.xeV7tGChITYND5UcpClBXA_y0Mxs-iZG48akDr7FHR4&amp;dib_tag=se&amp;keywords=9v%2Blithium%2Brechargeable%2Bbattery&amp;qid=1758642638&amp;sr=8-6&amp;th=1</v>
      </c>
      <c r="E31" s="149">
        <f>'Detailed BOM V1'!E40</f>
        <v>18.99</v>
      </c>
      <c r="G31" s="146"/>
    </row>
    <row r="32">
      <c r="B32" s="109" t="str">
        <f>'Detailed BOM V1'!A42</f>
        <v>Total </v>
      </c>
      <c r="C32" s="160"/>
      <c r="D32" s="161" t="str">
        <f>'Detailed BOM V1'!F42</f>
        <v/>
      </c>
      <c r="E32" s="162">
        <f>'Detailed BOM V1'!E42</f>
        <v>783.64</v>
      </c>
      <c r="G32" s="144"/>
    </row>
    <row r="33">
      <c r="G33" s="146"/>
    </row>
    <row r="34">
      <c r="G34" s="146"/>
    </row>
    <row r="35">
      <c r="G35" s="146"/>
    </row>
    <row r="36">
      <c r="G36" s="146"/>
    </row>
    <row r="37">
      <c r="G37" s="146"/>
    </row>
    <row r="38">
      <c r="G38" s="146"/>
    </row>
    <row r="39">
      <c r="G39" s="146"/>
    </row>
    <row r="40">
      <c r="G40" s="146"/>
    </row>
  </sheetData>
  <mergeCells count="4">
    <mergeCell ref="B3:B13"/>
    <mergeCell ref="B14:B16"/>
    <mergeCell ref="B17:B23"/>
    <mergeCell ref="B25:B31"/>
  </mergeCells>
  <drawing r:id="rId1"/>
</worksheet>
</file>